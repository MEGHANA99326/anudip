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b3f5cb249da354/Documents/"/>
    </mc:Choice>
  </mc:AlternateContent>
  <xr:revisionPtr revIDLastSave="0" documentId="8_{1C41BFEF-6FB9-425A-81CE-95BD107B3D28}" xr6:coauthVersionLast="45" xr6:coauthVersionMax="45" xr10:uidLastSave="{00000000-0000-0000-0000-000000000000}"/>
  <bookViews>
    <workbookView xWindow="-108" yWindow="-108" windowWidth="23256" windowHeight="12456" xr2:uid="{89050DB5-1A6A-4227-BD92-C5C8716BB8CB}"/>
  </bookViews>
  <sheets>
    <sheet name="Vlookup" sheetId="1" r:id="rId1"/>
    <sheet name="HLookup" sheetId="3" r:id="rId2"/>
    <sheet name="Xlookup-BASIC" sheetId="4" r:id="rId3"/>
    <sheet name="Xlookup-REV" sheetId="5" r:id="rId4"/>
    <sheet name="Xlookup-ERR" sheetId="6" r:id="rId5"/>
    <sheet name="Xlookup-MUL VAL" sheetId="7" r:id="rId6"/>
    <sheet name="Xlookup-Comm per" sheetId="10" r:id="rId7"/>
    <sheet name="DOUBLE XLOOKU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8" l="1" a="1"/>
  <c r="H3" i="8" s="1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" i="10"/>
  <c r="I24" i="7" a="1"/>
  <c r="I24" i="7" s="1"/>
  <c r="I3" i="7" a="1"/>
  <c r="I3" i="7" s="1"/>
  <c r="I4" i="7" a="1"/>
  <c r="I4" i="7" s="1"/>
  <c r="I5" i="7" a="1"/>
  <c r="I5" i="7" s="1"/>
  <c r="I6" i="7" a="1"/>
  <c r="I6" i="7" s="1"/>
  <c r="I7" i="7" a="1"/>
  <c r="I7" i="7" s="1"/>
  <c r="I8" i="7" a="1"/>
  <c r="I8" i="7" s="1"/>
  <c r="I9" i="7" a="1"/>
  <c r="I9" i="7" s="1"/>
  <c r="I10" i="7" a="1"/>
  <c r="I10" i="7" s="1"/>
  <c r="I11" i="7" a="1"/>
  <c r="I11" i="7" s="1"/>
  <c r="I12" i="7" a="1"/>
  <c r="I12" i="7" s="1"/>
  <c r="I13" i="7" a="1"/>
  <c r="I13" i="7" s="1"/>
  <c r="I14" i="7" a="1"/>
  <c r="I14" i="7" s="1"/>
  <c r="I15" i="7" a="1"/>
  <c r="I15" i="7" s="1"/>
  <c r="I16" i="7" a="1"/>
  <c r="I16" i="7" s="1"/>
  <c r="I17" i="7" a="1"/>
  <c r="I17" i="7" s="1"/>
  <c r="I18" i="7" a="1"/>
  <c r="I18" i="7" s="1"/>
  <c r="I19" i="7" a="1"/>
  <c r="I19" i="7" s="1"/>
  <c r="I20" i="7" a="1"/>
  <c r="I20" i="7" s="1"/>
  <c r="I21" i="7" a="1"/>
  <c r="I21" i="7" s="1"/>
  <c r="I22" i="7" a="1"/>
  <c r="I22" i="7" s="1"/>
  <c r="I23" i="7" a="1"/>
  <c r="I23" i="7" s="1"/>
  <c r="I2" i="7" a="1"/>
  <c r="J25" i="6"/>
  <c r="J24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3" i="6"/>
  <c r="J4" i="6"/>
  <c r="J5" i="6"/>
  <c r="J6" i="6"/>
  <c r="J2" i="6"/>
  <c r="H24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" i="5"/>
  <c r="I23" i="4"/>
  <c r="I24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" i="4"/>
  <c r="C9" i="3"/>
  <c r="D9" i="3"/>
  <c r="E9" i="3"/>
  <c r="F9" i="3"/>
  <c r="G9" i="3"/>
  <c r="H9" i="3"/>
  <c r="I9" i="3"/>
  <c r="J9" i="3"/>
  <c r="K9" i="3"/>
  <c r="L9" i="3"/>
  <c r="M9" i="3"/>
  <c r="N9" i="3"/>
  <c r="B9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" i="1"/>
  <c r="I2" i="7" l="1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<sst xmlns="http://schemas.openxmlformats.org/spreadsheetml/2006/main" count="505" uniqueCount="40">
  <si>
    <t>Emp Id</t>
  </si>
  <si>
    <t xml:space="preserve"> Name</t>
  </si>
  <si>
    <t>Place</t>
  </si>
  <si>
    <t>RAJESH</t>
  </si>
  <si>
    <t>GUNTUR</t>
  </si>
  <si>
    <t>LAKSHMI</t>
  </si>
  <si>
    <t>VIJAYAWADA</t>
  </si>
  <si>
    <t>MOUNIKA</t>
  </si>
  <si>
    <t>ONGOLE</t>
  </si>
  <si>
    <t>KUSUMA</t>
  </si>
  <si>
    <t>MURTHI</t>
  </si>
  <si>
    <t>PONNURU</t>
  </si>
  <si>
    <t>SANKER</t>
  </si>
  <si>
    <t>VINAY</t>
  </si>
  <si>
    <t>PRASAD</t>
  </si>
  <si>
    <t>TENALI</t>
  </si>
  <si>
    <t>GOPI</t>
  </si>
  <si>
    <t>VIJAY</t>
  </si>
  <si>
    <t>RAMESH</t>
  </si>
  <si>
    <t>SANTHI</t>
  </si>
  <si>
    <t>KISHORE</t>
  </si>
  <si>
    <t>RAJU</t>
  </si>
  <si>
    <t>NAVEEN</t>
  </si>
  <si>
    <t>NARENDRA</t>
  </si>
  <si>
    <t>RAJI</t>
  </si>
  <si>
    <t>MAHESH</t>
  </si>
  <si>
    <t>ROSHAN</t>
  </si>
  <si>
    <t>RAVI</t>
  </si>
  <si>
    <t>TEJA</t>
  </si>
  <si>
    <t>KIRAN</t>
  </si>
  <si>
    <t>NANDHU</t>
  </si>
  <si>
    <t>Sales</t>
  </si>
  <si>
    <t>Commission</t>
  </si>
  <si>
    <t>Name</t>
  </si>
  <si>
    <t>SALES</t>
  </si>
  <si>
    <t>NAME</t>
  </si>
  <si>
    <t>YEAR</t>
  </si>
  <si>
    <t>VIJAY BABU</t>
  </si>
  <si>
    <t>s</t>
  </si>
  <si>
    <t>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</si>
</sst>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5" fontId="4" fillId="0" borderId="1" xfId="1" applyNumberFormat="1" applyFont="1" applyBorder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165" fontId="4" fillId="0" borderId="1" xfId="1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5" fontId="4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4" fillId="0" borderId="1" xfId="1" applyNumberFormat="1" applyFont="1" applyBorder="1" applyAlignment="1">
      <alignment horizontal="left" vertical="center"/>
    </xf>
    <xf numFmtId="9" fontId="4" fillId="0" borderId="1" xfId="1" applyNumberFormat="1" applyFont="1" applyBorder="1"/>
    <xf numFmtId="10" fontId="4" fillId="0" borderId="1" xfId="1" applyNumberFormat="1" applyFont="1" applyBorder="1"/>
    <xf numFmtId="0" fontId="0" fillId="0" borderId="1" xfId="0" applyBorder="1"/>
    <xf numFmtId="0" fontId="2" fillId="0" borderId="1" xfId="0" applyFont="1" applyBorder="1"/>
    <xf numFmtId="9" fontId="2" fillId="0" borderId="1" xfId="0" applyNumberFormat="1" applyFont="1" applyBorder="1"/>
    <xf numFmtId="165" fontId="4" fillId="0" borderId="1" xfId="1" applyNumberFormat="1" applyFont="1" applyFill="1" applyBorder="1"/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14CC-9C7F-4564-A808-F46FBAD471BF}">
  <dimension ref="A1:J26"/>
  <sheetViews>
    <sheetView tabSelected="1" zoomScale="130" zoomScaleNormal="130" workbookViewId="0">
      <selection activeCell="I1" sqref="I1:J1"/>
    </sheetView>
  </sheetViews>
  <sheetFormatPr defaultRowHeight="15.6" x14ac:dyDescent="0.3"/>
  <cols>
    <col min="1" max="1" width="10.09765625" customWidth="1"/>
    <col min="2" max="2" width="13.3984375" customWidth="1"/>
    <col min="3" max="3" width="15.59765625" customWidth="1"/>
    <col min="4" max="4" width="10.5" customWidth="1"/>
    <col min="5" max="5" width="12.296875" customWidth="1"/>
    <col min="9" max="9" width="13.3984375" customWidth="1"/>
    <col min="10" max="10" width="12.796875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31</v>
      </c>
      <c r="E1" s="1" t="s">
        <v>32</v>
      </c>
      <c r="I1" s="2" t="s">
        <v>1</v>
      </c>
      <c r="J1" s="1" t="s">
        <v>32</v>
      </c>
    </row>
    <row r="2" spans="1:10" x14ac:dyDescent="0.3">
      <c r="A2" s="3">
        <v>12100</v>
      </c>
      <c r="B2" s="3" t="s">
        <v>3</v>
      </c>
      <c r="C2" s="3" t="s">
        <v>4</v>
      </c>
      <c r="D2" s="4">
        <v>66489</v>
      </c>
      <c r="E2" s="4">
        <v>6648.9000000000005</v>
      </c>
      <c r="I2" s="3" t="s">
        <v>3</v>
      </c>
      <c r="J2" s="14">
        <f>VLOOKUP(I2,$B$2:$E$24,4,FALSE)</f>
        <v>6648.9000000000005</v>
      </c>
    </row>
    <row r="3" spans="1:10" x14ac:dyDescent="0.3">
      <c r="A3" s="3">
        <v>12003</v>
      </c>
      <c r="B3" s="3" t="s">
        <v>5</v>
      </c>
      <c r="C3" s="3" t="s">
        <v>6</v>
      </c>
      <c r="D3" s="4">
        <v>45645</v>
      </c>
      <c r="E3" s="4">
        <v>2282.25</v>
      </c>
      <c r="I3" s="3" t="s">
        <v>5</v>
      </c>
      <c r="J3" s="14">
        <f t="shared" ref="J3:J24" si="0">VLOOKUP(I3,$B$2:$E$24,4,FALSE)</f>
        <v>2282.25</v>
      </c>
    </row>
    <row r="4" spans="1:10" x14ac:dyDescent="0.3">
      <c r="A4" s="3">
        <v>12021</v>
      </c>
      <c r="B4" s="3" t="s">
        <v>7</v>
      </c>
      <c r="C4" s="3" t="s">
        <v>8</v>
      </c>
      <c r="D4" s="4">
        <v>40676</v>
      </c>
      <c r="E4" s="4">
        <v>2033.8000000000002</v>
      </c>
      <c r="I4" s="3" t="s">
        <v>7</v>
      </c>
      <c r="J4" s="14">
        <f t="shared" si="0"/>
        <v>2033.8000000000002</v>
      </c>
    </row>
    <row r="5" spans="1:10" x14ac:dyDescent="0.3">
      <c r="A5" s="3">
        <v>12061</v>
      </c>
      <c r="B5" s="3" t="s">
        <v>9</v>
      </c>
      <c r="C5" s="3" t="s">
        <v>4</v>
      </c>
      <c r="D5" s="4">
        <v>67868</v>
      </c>
      <c r="E5" s="4">
        <v>6786.8</v>
      </c>
      <c r="I5" s="3" t="s">
        <v>9</v>
      </c>
      <c r="J5" s="14">
        <f t="shared" si="0"/>
        <v>6786.8</v>
      </c>
    </row>
    <row r="6" spans="1:10" x14ac:dyDescent="0.3">
      <c r="A6" s="3">
        <v>12082</v>
      </c>
      <c r="B6" s="3" t="s">
        <v>10</v>
      </c>
      <c r="C6" s="3" t="s">
        <v>11</v>
      </c>
      <c r="D6" s="4">
        <v>28256</v>
      </c>
      <c r="E6" s="4">
        <v>847.68</v>
      </c>
      <c r="I6" s="3" t="s">
        <v>10</v>
      </c>
      <c r="J6" s="14">
        <f t="shared" si="0"/>
        <v>847.68</v>
      </c>
    </row>
    <row r="7" spans="1:10" x14ac:dyDescent="0.3">
      <c r="A7" s="3">
        <v>12058</v>
      </c>
      <c r="B7" s="3" t="s">
        <v>12</v>
      </c>
      <c r="C7" s="3" t="s">
        <v>4</v>
      </c>
      <c r="D7" s="4">
        <v>49172</v>
      </c>
      <c r="E7" s="4">
        <v>2458.6000000000004</v>
      </c>
      <c r="I7" s="3" t="s">
        <v>12</v>
      </c>
      <c r="J7" s="14">
        <f t="shared" si="0"/>
        <v>2458.6000000000004</v>
      </c>
    </row>
    <row r="8" spans="1:10" x14ac:dyDescent="0.3">
      <c r="A8" s="3">
        <v>12033</v>
      </c>
      <c r="B8" s="3" t="s">
        <v>13</v>
      </c>
      <c r="C8" s="3" t="s">
        <v>6</v>
      </c>
      <c r="D8" s="4">
        <v>55641</v>
      </c>
      <c r="E8" s="4">
        <v>2782.05</v>
      </c>
      <c r="I8" s="3" t="s">
        <v>13</v>
      </c>
      <c r="J8" s="14">
        <f t="shared" si="0"/>
        <v>2782.05</v>
      </c>
    </row>
    <row r="9" spans="1:10" x14ac:dyDescent="0.3">
      <c r="A9" s="3">
        <v>12063</v>
      </c>
      <c r="B9" s="3" t="s">
        <v>14</v>
      </c>
      <c r="C9" s="3" t="s">
        <v>15</v>
      </c>
      <c r="D9" s="4">
        <v>48762</v>
      </c>
      <c r="E9" s="4">
        <v>2438.1</v>
      </c>
      <c r="I9" s="3" t="s">
        <v>14</v>
      </c>
      <c r="J9" s="14">
        <f t="shared" si="0"/>
        <v>2438.1</v>
      </c>
    </row>
    <row r="10" spans="1:10" x14ac:dyDescent="0.3">
      <c r="A10" s="3">
        <v>12008</v>
      </c>
      <c r="B10" s="3" t="s">
        <v>16</v>
      </c>
      <c r="C10" s="3" t="s">
        <v>15</v>
      </c>
      <c r="D10" s="4">
        <v>35138</v>
      </c>
      <c r="E10" s="4">
        <v>1054.1399999999999</v>
      </c>
      <c r="I10" s="3" t="s">
        <v>16</v>
      </c>
      <c r="J10" s="14">
        <f t="shared" si="0"/>
        <v>1054.1399999999999</v>
      </c>
    </row>
    <row r="11" spans="1:10" x14ac:dyDescent="0.3">
      <c r="A11" s="3">
        <v>12044</v>
      </c>
      <c r="B11" s="3" t="s">
        <v>17</v>
      </c>
      <c r="C11" s="3" t="s">
        <v>6</v>
      </c>
      <c r="D11" s="4">
        <v>72855</v>
      </c>
      <c r="E11" s="4">
        <v>7285.5</v>
      </c>
      <c r="I11" s="3" t="s">
        <v>17</v>
      </c>
      <c r="J11" s="14">
        <f t="shared" si="0"/>
        <v>7285.5</v>
      </c>
    </row>
    <row r="12" spans="1:10" x14ac:dyDescent="0.3">
      <c r="A12" s="3">
        <v>12040</v>
      </c>
      <c r="B12" s="3" t="s">
        <v>18</v>
      </c>
      <c r="C12" s="3" t="s">
        <v>11</v>
      </c>
      <c r="D12" s="4">
        <v>43621</v>
      </c>
      <c r="E12" s="4">
        <v>2181.0500000000002</v>
      </c>
      <c r="I12" s="3" t="s">
        <v>18</v>
      </c>
      <c r="J12" s="14">
        <f t="shared" si="0"/>
        <v>2181.0500000000002</v>
      </c>
    </row>
    <row r="13" spans="1:10" x14ac:dyDescent="0.3">
      <c r="A13" s="3">
        <v>12011</v>
      </c>
      <c r="B13" s="3" t="s">
        <v>19</v>
      </c>
      <c r="C13" s="3" t="s">
        <v>4</v>
      </c>
      <c r="D13" s="4">
        <v>49511</v>
      </c>
      <c r="E13" s="4">
        <v>2475.5500000000002</v>
      </c>
      <c r="I13" s="3" t="s">
        <v>19</v>
      </c>
      <c r="J13" s="14">
        <f t="shared" si="0"/>
        <v>2475.5500000000002</v>
      </c>
    </row>
    <row r="14" spans="1:10" x14ac:dyDescent="0.3">
      <c r="A14" s="3">
        <v>12050</v>
      </c>
      <c r="B14" s="3" t="s">
        <v>20</v>
      </c>
      <c r="C14" s="3" t="s">
        <v>11</v>
      </c>
      <c r="D14" s="4">
        <v>50922</v>
      </c>
      <c r="E14" s="4">
        <v>2546.1000000000004</v>
      </c>
      <c r="I14" s="3" t="s">
        <v>20</v>
      </c>
      <c r="J14" s="14">
        <f t="shared" si="0"/>
        <v>2546.1000000000004</v>
      </c>
    </row>
    <row r="15" spans="1:10" x14ac:dyDescent="0.3">
      <c r="A15" s="3">
        <v>12034</v>
      </c>
      <c r="B15" s="3" t="s">
        <v>21</v>
      </c>
      <c r="C15" s="3" t="s">
        <v>15</v>
      </c>
      <c r="D15" s="4">
        <v>63177</v>
      </c>
      <c r="E15" s="4">
        <v>6317.7000000000007</v>
      </c>
      <c r="I15" s="3" t="s">
        <v>21</v>
      </c>
      <c r="J15" s="14">
        <f t="shared" si="0"/>
        <v>6317.7000000000007</v>
      </c>
    </row>
    <row r="16" spans="1:10" x14ac:dyDescent="0.3">
      <c r="A16" s="3">
        <v>12039</v>
      </c>
      <c r="B16" s="3" t="s">
        <v>22</v>
      </c>
      <c r="C16" s="3" t="s">
        <v>6</v>
      </c>
      <c r="D16" s="4">
        <v>33525</v>
      </c>
      <c r="E16" s="4">
        <v>1005.75</v>
      </c>
      <c r="I16" s="3" t="s">
        <v>22</v>
      </c>
      <c r="J16" s="14">
        <f t="shared" si="0"/>
        <v>1005.75</v>
      </c>
    </row>
    <row r="17" spans="1:10" x14ac:dyDescent="0.3">
      <c r="A17" s="3">
        <v>12066</v>
      </c>
      <c r="B17" s="3" t="s">
        <v>23</v>
      </c>
      <c r="C17" s="3" t="s">
        <v>11</v>
      </c>
      <c r="D17" s="4">
        <v>28424</v>
      </c>
      <c r="E17" s="4">
        <v>852.71999999999991</v>
      </c>
      <c r="I17" s="3" t="s">
        <v>23</v>
      </c>
      <c r="J17" s="14">
        <f t="shared" si="0"/>
        <v>852.71999999999991</v>
      </c>
    </row>
    <row r="18" spans="1:10" x14ac:dyDescent="0.3">
      <c r="A18" s="3">
        <v>12051</v>
      </c>
      <c r="B18" s="3" t="s">
        <v>24</v>
      </c>
      <c r="C18" s="3" t="s">
        <v>6</v>
      </c>
      <c r="D18" s="4">
        <v>47307</v>
      </c>
      <c r="E18" s="4">
        <v>2365.35</v>
      </c>
      <c r="I18" s="3" t="s">
        <v>24</v>
      </c>
      <c r="J18" s="14">
        <f t="shared" si="0"/>
        <v>2365.35</v>
      </c>
    </row>
    <row r="19" spans="1:10" x14ac:dyDescent="0.3">
      <c r="A19" s="3">
        <v>12053</v>
      </c>
      <c r="B19" s="3" t="s">
        <v>25</v>
      </c>
      <c r="C19" s="3" t="s">
        <v>8</v>
      </c>
      <c r="D19" s="4">
        <v>74562</v>
      </c>
      <c r="E19" s="4">
        <v>7456.2000000000007</v>
      </c>
      <c r="I19" s="3" t="s">
        <v>25</v>
      </c>
      <c r="J19" s="14">
        <f t="shared" si="0"/>
        <v>7456.2000000000007</v>
      </c>
    </row>
    <row r="20" spans="1:10" x14ac:dyDescent="0.3">
      <c r="A20" s="3">
        <v>12076</v>
      </c>
      <c r="B20" s="3" t="s">
        <v>26</v>
      </c>
      <c r="C20" s="3" t="s">
        <v>4</v>
      </c>
      <c r="D20" s="4">
        <v>60912</v>
      </c>
      <c r="E20" s="4">
        <v>6091.2000000000007</v>
      </c>
      <c r="I20" s="3" t="s">
        <v>26</v>
      </c>
      <c r="J20" s="14">
        <f t="shared" si="0"/>
        <v>6091.2000000000007</v>
      </c>
    </row>
    <row r="21" spans="1:10" x14ac:dyDescent="0.3">
      <c r="A21" s="3">
        <v>12057</v>
      </c>
      <c r="B21" s="3" t="s">
        <v>27</v>
      </c>
      <c r="C21" s="3" t="s">
        <v>11</v>
      </c>
      <c r="D21" s="4">
        <v>71168</v>
      </c>
      <c r="E21" s="4">
        <v>7116.8</v>
      </c>
      <c r="I21" s="3" t="s">
        <v>27</v>
      </c>
      <c r="J21" s="14">
        <f t="shared" si="0"/>
        <v>7116.8</v>
      </c>
    </row>
    <row r="22" spans="1:10" x14ac:dyDescent="0.3">
      <c r="A22" s="3">
        <v>12012</v>
      </c>
      <c r="B22" s="3" t="s">
        <v>28</v>
      </c>
      <c r="C22" s="3" t="s">
        <v>4</v>
      </c>
      <c r="D22" s="4">
        <v>31028</v>
      </c>
      <c r="E22" s="4">
        <v>930.83999999999992</v>
      </c>
      <c r="I22" s="3" t="s">
        <v>28</v>
      </c>
      <c r="J22" s="14">
        <f t="shared" si="0"/>
        <v>930.83999999999992</v>
      </c>
    </row>
    <row r="23" spans="1:10" x14ac:dyDescent="0.3">
      <c r="A23" s="3">
        <v>12077</v>
      </c>
      <c r="B23" s="3" t="s">
        <v>29</v>
      </c>
      <c r="C23" s="3" t="s">
        <v>6</v>
      </c>
      <c r="D23" s="4">
        <v>69163</v>
      </c>
      <c r="E23" s="4">
        <v>6916.3</v>
      </c>
      <c r="I23" s="3" t="s">
        <v>29</v>
      </c>
      <c r="J23" s="14">
        <f t="shared" si="0"/>
        <v>6916.3</v>
      </c>
    </row>
    <row r="24" spans="1:10" x14ac:dyDescent="0.3">
      <c r="A24" s="3">
        <v>12045</v>
      </c>
      <c r="B24" s="3" t="s">
        <v>30</v>
      </c>
      <c r="C24" s="3" t="s">
        <v>4</v>
      </c>
      <c r="D24" s="4">
        <v>71917</v>
      </c>
      <c r="E24" s="4">
        <v>7191.7000000000007</v>
      </c>
      <c r="I24" s="3" t="s">
        <v>30</v>
      </c>
      <c r="J24" s="14">
        <f t="shared" si="0"/>
        <v>7191.7000000000007</v>
      </c>
    </row>
    <row r="25" spans="1:10" x14ac:dyDescent="0.3">
      <c r="J25" s="14"/>
    </row>
    <row r="26" spans="1:10" x14ac:dyDescent="0.3">
      <c r="J2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CF7F-BBF9-4F01-B707-48C1499270CD}">
  <dimension ref="A1:N9"/>
  <sheetViews>
    <sheetView zoomScale="120" zoomScaleNormal="120" workbookViewId="0">
      <selection activeCell="B9" sqref="B9"/>
    </sheetView>
  </sheetViews>
  <sheetFormatPr defaultRowHeight="15.6" x14ac:dyDescent="0.3"/>
  <cols>
    <col min="1" max="1" width="10.09765625" bestFit="1" customWidth="1"/>
    <col min="2" max="2" width="9.8984375" customWidth="1"/>
    <col min="3" max="3" width="11.69921875" customWidth="1"/>
    <col min="4" max="4" width="9.8984375" customWidth="1"/>
    <col min="5" max="5" width="11.8984375" customWidth="1"/>
    <col min="6" max="6" width="13.59765625" customWidth="1"/>
    <col min="7" max="7" width="9.8984375" customWidth="1"/>
    <col min="8" max="8" width="12.69921875" customWidth="1"/>
    <col min="9" max="10" width="9.8984375" customWidth="1"/>
    <col min="11" max="11" width="11.796875" customWidth="1"/>
    <col min="12" max="14" width="9.8984375" customWidth="1"/>
  </cols>
  <sheetData>
    <row r="1" spans="1:14" x14ac:dyDescent="0.3">
      <c r="A1" s="5" t="s">
        <v>0</v>
      </c>
      <c r="B1" s="8">
        <v>12100</v>
      </c>
      <c r="C1" s="8">
        <v>12003</v>
      </c>
      <c r="D1" s="8">
        <v>12021</v>
      </c>
      <c r="E1" s="8">
        <v>12061</v>
      </c>
      <c r="F1" s="8">
        <v>12082</v>
      </c>
      <c r="G1" s="8">
        <v>12058</v>
      </c>
      <c r="H1" s="8">
        <v>12033</v>
      </c>
      <c r="I1" s="8">
        <v>12063</v>
      </c>
      <c r="J1" s="8">
        <v>12008</v>
      </c>
      <c r="K1" s="8">
        <v>12044</v>
      </c>
      <c r="L1" s="8">
        <v>12040</v>
      </c>
      <c r="M1" s="8">
        <v>12011</v>
      </c>
      <c r="N1" s="8">
        <v>12050</v>
      </c>
    </row>
    <row r="2" spans="1:14" x14ac:dyDescent="0.3">
      <c r="A2" s="6" t="s">
        <v>33</v>
      </c>
      <c r="B2" s="8" t="s">
        <v>3</v>
      </c>
      <c r="C2" s="8" t="s">
        <v>5</v>
      </c>
      <c r="D2" s="8" t="s">
        <v>7</v>
      </c>
      <c r="E2" s="8" t="s">
        <v>9</v>
      </c>
      <c r="F2" s="8" t="s">
        <v>10</v>
      </c>
      <c r="G2" s="8" t="s">
        <v>12</v>
      </c>
      <c r="H2" s="8" t="s">
        <v>13</v>
      </c>
      <c r="I2" s="8" t="s">
        <v>14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</row>
    <row r="3" spans="1:14" x14ac:dyDescent="0.3">
      <c r="A3" s="5" t="s">
        <v>2</v>
      </c>
      <c r="B3" s="8" t="s">
        <v>4</v>
      </c>
      <c r="C3" s="8" t="s">
        <v>6</v>
      </c>
      <c r="D3" s="8" t="s">
        <v>8</v>
      </c>
      <c r="E3" s="8" t="s">
        <v>4</v>
      </c>
      <c r="F3" s="8" t="s">
        <v>11</v>
      </c>
      <c r="G3" s="8" t="s">
        <v>4</v>
      </c>
      <c r="H3" s="8" t="s">
        <v>6</v>
      </c>
      <c r="I3" s="8" t="s">
        <v>15</v>
      </c>
      <c r="J3" s="8" t="s">
        <v>15</v>
      </c>
      <c r="K3" s="8" t="s">
        <v>6</v>
      </c>
      <c r="L3" s="8" t="s">
        <v>11</v>
      </c>
      <c r="M3" s="8" t="s">
        <v>4</v>
      </c>
      <c r="N3" s="8" t="s">
        <v>11</v>
      </c>
    </row>
    <row r="4" spans="1:14" x14ac:dyDescent="0.3">
      <c r="A4" s="5" t="s">
        <v>31</v>
      </c>
      <c r="B4" s="7">
        <v>66489</v>
      </c>
      <c r="C4" s="7">
        <v>45645</v>
      </c>
      <c r="D4" s="7">
        <v>40676</v>
      </c>
      <c r="E4" s="7">
        <v>67868</v>
      </c>
      <c r="F4" s="7">
        <v>28256</v>
      </c>
      <c r="G4" s="7">
        <v>49172</v>
      </c>
      <c r="H4" s="7">
        <v>55641</v>
      </c>
      <c r="I4" s="7">
        <v>48762</v>
      </c>
      <c r="J4" s="7">
        <v>35138</v>
      </c>
      <c r="K4" s="7">
        <v>72855</v>
      </c>
      <c r="L4" s="7">
        <v>43621</v>
      </c>
      <c r="M4" s="7">
        <v>49511</v>
      </c>
      <c r="N4" s="7">
        <v>50922</v>
      </c>
    </row>
    <row r="5" spans="1:14" x14ac:dyDescent="0.3">
      <c r="A5" s="5" t="s">
        <v>32</v>
      </c>
      <c r="B5" s="7">
        <v>6648.9000000000005</v>
      </c>
      <c r="C5" s="7">
        <v>2282.25</v>
      </c>
      <c r="D5" s="7">
        <v>2033.8000000000002</v>
      </c>
      <c r="E5" s="7">
        <v>6786.8</v>
      </c>
      <c r="F5" s="7">
        <v>847.68</v>
      </c>
      <c r="G5" s="7">
        <v>2458.6000000000004</v>
      </c>
      <c r="H5" s="7">
        <v>2782.05</v>
      </c>
      <c r="I5" s="7">
        <v>2438.1</v>
      </c>
      <c r="J5" s="7">
        <v>1054.1399999999999</v>
      </c>
      <c r="K5" s="7">
        <v>7285.5</v>
      </c>
      <c r="L5" s="7">
        <v>2181.0500000000002</v>
      </c>
      <c r="M5" s="7">
        <v>2475.5500000000002</v>
      </c>
      <c r="N5" s="7">
        <v>2546.1000000000004</v>
      </c>
    </row>
    <row r="8" spans="1:14" x14ac:dyDescent="0.3">
      <c r="A8" s="6" t="s">
        <v>33</v>
      </c>
      <c r="B8" s="8" t="s">
        <v>3</v>
      </c>
      <c r="C8" s="8" t="s">
        <v>5</v>
      </c>
      <c r="D8" s="8" t="s">
        <v>7</v>
      </c>
      <c r="E8" s="8" t="s">
        <v>9</v>
      </c>
      <c r="F8" s="8" t="s">
        <v>10</v>
      </c>
      <c r="G8" s="8" t="s">
        <v>12</v>
      </c>
      <c r="H8" s="8" t="s">
        <v>13</v>
      </c>
      <c r="I8" s="8" t="s">
        <v>14</v>
      </c>
      <c r="J8" s="8" t="s">
        <v>16</v>
      </c>
      <c r="K8" s="8" t="s">
        <v>17</v>
      </c>
      <c r="L8" s="8" t="s">
        <v>18</v>
      </c>
      <c r="M8" s="8" t="s">
        <v>19</v>
      </c>
      <c r="N8" s="8" t="s">
        <v>20</v>
      </c>
    </row>
    <row r="9" spans="1:14" x14ac:dyDescent="0.3">
      <c r="A9" s="5" t="s">
        <v>32</v>
      </c>
      <c r="B9" s="14">
        <f>HLOOKUP(B8,$B$2:$N$5,4,FALSE)</f>
        <v>6648.9000000000005</v>
      </c>
      <c r="C9" s="14">
        <f t="shared" ref="C9:N9" si="0">HLOOKUP(C8,$B$2:$N$5,4,FALSE)</f>
        <v>2282.25</v>
      </c>
      <c r="D9" s="14">
        <f t="shared" si="0"/>
        <v>2033.8000000000002</v>
      </c>
      <c r="E9" s="14">
        <f t="shared" si="0"/>
        <v>6786.8</v>
      </c>
      <c r="F9" s="14">
        <f t="shared" si="0"/>
        <v>847.68</v>
      </c>
      <c r="G9" s="14">
        <f t="shared" si="0"/>
        <v>2458.6000000000004</v>
      </c>
      <c r="H9" s="14">
        <f t="shared" si="0"/>
        <v>2782.05</v>
      </c>
      <c r="I9" s="14">
        <f t="shared" si="0"/>
        <v>2438.1</v>
      </c>
      <c r="J9" s="14">
        <f t="shared" si="0"/>
        <v>1054.1399999999999</v>
      </c>
      <c r="K9" s="14">
        <f t="shared" si="0"/>
        <v>7285.5</v>
      </c>
      <c r="L9" s="14">
        <f t="shared" si="0"/>
        <v>2181.0500000000002</v>
      </c>
      <c r="M9" s="14">
        <f t="shared" si="0"/>
        <v>2475.5500000000002</v>
      </c>
      <c r="N9" s="14">
        <f t="shared" si="0"/>
        <v>2546.1000000000004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681C-1167-45A0-AB6A-73FAC5EB9367}">
  <dimension ref="A1:I24"/>
  <sheetViews>
    <sheetView zoomScale="120" zoomScaleNormal="120" workbookViewId="0">
      <selection activeCell="I2" sqref="I2"/>
    </sheetView>
  </sheetViews>
  <sheetFormatPr defaultRowHeight="15.6" x14ac:dyDescent="0.3"/>
  <cols>
    <col min="2" max="2" width="10.796875" customWidth="1"/>
    <col min="3" max="3" width="12.296875" customWidth="1"/>
    <col min="5" max="5" width="12" customWidth="1"/>
    <col min="8" max="8" width="9.59765625" customWidth="1"/>
    <col min="9" max="9" width="12.79687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31</v>
      </c>
      <c r="E1" s="1" t="s">
        <v>32</v>
      </c>
      <c r="H1" s="2" t="s">
        <v>33</v>
      </c>
      <c r="I1" s="1" t="s">
        <v>32</v>
      </c>
    </row>
    <row r="2" spans="1:9" x14ac:dyDescent="0.3">
      <c r="A2" s="3">
        <v>12100</v>
      </c>
      <c r="B2" s="3" t="s">
        <v>3</v>
      </c>
      <c r="C2" s="3" t="s">
        <v>4</v>
      </c>
      <c r="D2" s="4">
        <v>66489</v>
      </c>
      <c r="E2" s="4">
        <v>6648.9000000000005</v>
      </c>
      <c r="H2" s="3" t="s">
        <v>3</v>
      </c>
      <c r="I2" s="4">
        <f>_xlfn.XLOOKUP(H2,B2:B14,E2:E14)</f>
        <v>6648.9000000000005</v>
      </c>
    </row>
    <row r="3" spans="1:9" x14ac:dyDescent="0.3">
      <c r="A3" s="3">
        <v>12003</v>
      </c>
      <c r="B3" s="3" t="s">
        <v>5</v>
      </c>
      <c r="C3" s="3" t="s">
        <v>6</v>
      </c>
      <c r="D3" s="4">
        <v>45645</v>
      </c>
      <c r="E3" s="4">
        <v>2282.25</v>
      </c>
      <c r="H3" s="3" t="s">
        <v>5</v>
      </c>
      <c r="I3" s="4">
        <f t="shared" ref="I3:I24" si="0">_xlfn.XLOOKUP(H3,B3:B15,E3:E15)</f>
        <v>2282.25</v>
      </c>
    </row>
    <row r="4" spans="1:9" x14ac:dyDescent="0.3">
      <c r="A4" s="3">
        <v>12021</v>
      </c>
      <c r="B4" s="3" t="s">
        <v>7</v>
      </c>
      <c r="C4" s="3" t="s">
        <v>8</v>
      </c>
      <c r="D4" s="4">
        <v>40676</v>
      </c>
      <c r="E4" s="4">
        <v>2033.8000000000002</v>
      </c>
      <c r="H4" s="3" t="s">
        <v>7</v>
      </c>
      <c r="I4" s="4">
        <f t="shared" si="0"/>
        <v>2033.8000000000002</v>
      </c>
    </row>
    <row r="5" spans="1:9" x14ac:dyDescent="0.3">
      <c r="A5" s="3">
        <v>12061</v>
      </c>
      <c r="B5" s="3" t="s">
        <v>9</v>
      </c>
      <c r="C5" s="3" t="s">
        <v>4</v>
      </c>
      <c r="D5" s="4">
        <v>67868</v>
      </c>
      <c r="E5" s="4">
        <v>6786.8</v>
      </c>
      <c r="H5" s="3" t="s">
        <v>9</v>
      </c>
      <c r="I5" s="4">
        <f t="shared" si="0"/>
        <v>6786.8</v>
      </c>
    </row>
    <row r="6" spans="1:9" x14ac:dyDescent="0.3">
      <c r="A6" s="3">
        <v>12082</v>
      </c>
      <c r="B6" s="3" t="s">
        <v>10</v>
      </c>
      <c r="C6" s="3" t="s">
        <v>11</v>
      </c>
      <c r="D6" s="4">
        <v>28256</v>
      </c>
      <c r="E6" s="4">
        <v>847.68</v>
      </c>
      <c r="H6" s="3" t="s">
        <v>10</v>
      </c>
      <c r="I6" s="4">
        <f t="shared" si="0"/>
        <v>847.68</v>
      </c>
    </row>
    <row r="7" spans="1:9" x14ac:dyDescent="0.3">
      <c r="A7" s="3">
        <v>12058</v>
      </c>
      <c r="B7" s="3" t="s">
        <v>12</v>
      </c>
      <c r="C7" s="3" t="s">
        <v>4</v>
      </c>
      <c r="D7" s="4">
        <v>49172</v>
      </c>
      <c r="E7" s="4">
        <v>2458.6000000000004</v>
      </c>
      <c r="H7" s="3" t="s">
        <v>12</v>
      </c>
      <c r="I7" s="4">
        <f t="shared" si="0"/>
        <v>2458.6000000000004</v>
      </c>
    </row>
    <row r="8" spans="1:9" x14ac:dyDescent="0.3">
      <c r="A8" s="3">
        <v>12033</v>
      </c>
      <c r="B8" s="3" t="s">
        <v>13</v>
      </c>
      <c r="C8" s="3" t="s">
        <v>6</v>
      </c>
      <c r="D8" s="4">
        <v>55641</v>
      </c>
      <c r="E8" s="4">
        <v>2782.05</v>
      </c>
      <c r="H8" s="3" t="s">
        <v>13</v>
      </c>
      <c r="I8" s="4">
        <f t="shared" si="0"/>
        <v>2782.05</v>
      </c>
    </row>
    <row r="9" spans="1:9" x14ac:dyDescent="0.3">
      <c r="A9" s="3">
        <v>12063</v>
      </c>
      <c r="B9" s="3" t="s">
        <v>14</v>
      </c>
      <c r="C9" s="3" t="s">
        <v>15</v>
      </c>
      <c r="D9" s="4">
        <v>48762</v>
      </c>
      <c r="E9" s="4">
        <v>2438.1</v>
      </c>
      <c r="H9" s="3" t="s">
        <v>14</v>
      </c>
      <c r="I9" s="4">
        <f t="shared" si="0"/>
        <v>2438.1</v>
      </c>
    </row>
    <row r="10" spans="1:9" x14ac:dyDescent="0.3">
      <c r="A10" s="3">
        <v>12008</v>
      </c>
      <c r="B10" s="3" t="s">
        <v>16</v>
      </c>
      <c r="C10" s="3" t="s">
        <v>15</v>
      </c>
      <c r="D10" s="4">
        <v>35138</v>
      </c>
      <c r="E10" s="4">
        <v>1054.1399999999999</v>
      </c>
      <c r="H10" s="3" t="s">
        <v>16</v>
      </c>
      <c r="I10" s="4">
        <f t="shared" si="0"/>
        <v>1054.1399999999999</v>
      </c>
    </row>
    <row r="11" spans="1:9" x14ac:dyDescent="0.3">
      <c r="A11" s="3">
        <v>12044</v>
      </c>
      <c r="B11" s="3" t="s">
        <v>37</v>
      </c>
      <c r="C11" s="3" t="s">
        <v>6</v>
      </c>
      <c r="D11" s="4">
        <v>72855</v>
      </c>
      <c r="E11" s="4">
        <v>7285.5</v>
      </c>
      <c r="H11" s="3" t="s">
        <v>37</v>
      </c>
      <c r="I11" s="4">
        <f t="shared" si="0"/>
        <v>7285.5</v>
      </c>
    </row>
    <row r="12" spans="1:9" x14ac:dyDescent="0.3">
      <c r="A12" s="3">
        <v>12040</v>
      </c>
      <c r="B12" s="3" t="s">
        <v>18</v>
      </c>
      <c r="C12" s="3" t="s">
        <v>11</v>
      </c>
      <c r="D12" s="4">
        <v>43621</v>
      </c>
      <c r="E12" s="4">
        <v>2181.0500000000002</v>
      </c>
      <c r="H12" s="3" t="s">
        <v>18</v>
      </c>
      <c r="I12" s="4">
        <f t="shared" si="0"/>
        <v>2181.0500000000002</v>
      </c>
    </row>
    <row r="13" spans="1:9" x14ac:dyDescent="0.3">
      <c r="A13" s="3">
        <v>12011</v>
      </c>
      <c r="B13" s="3" t="s">
        <v>19</v>
      </c>
      <c r="C13" s="3" t="s">
        <v>4</v>
      </c>
      <c r="D13" s="4">
        <v>49511</v>
      </c>
      <c r="E13" s="4">
        <v>2475.5500000000002</v>
      </c>
      <c r="H13" s="3" t="s">
        <v>19</v>
      </c>
      <c r="I13" s="4">
        <f t="shared" si="0"/>
        <v>2475.5500000000002</v>
      </c>
    </row>
    <row r="14" spans="1:9" x14ac:dyDescent="0.3">
      <c r="A14" s="3">
        <v>12050</v>
      </c>
      <c r="B14" s="3" t="s">
        <v>20</v>
      </c>
      <c r="C14" s="3" t="s">
        <v>11</v>
      </c>
      <c r="D14" s="4">
        <v>50922</v>
      </c>
      <c r="E14" s="4">
        <v>2546.1000000000004</v>
      </c>
      <c r="H14" s="3" t="s">
        <v>20</v>
      </c>
      <c r="I14" s="4">
        <f t="shared" si="0"/>
        <v>2546.1000000000004</v>
      </c>
    </row>
    <row r="15" spans="1:9" x14ac:dyDescent="0.3">
      <c r="A15" s="3">
        <v>12034</v>
      </c>
      <c r="B15" s="3" t="s">
        <v>21</v>
      </c>
      <c r="C15" s="3" t="s">
        <v>15</v>
      </c>
      <c r="D15" s="4">
        <v>63177</v>
      </c>
      <c r="E15" s="4">
        <v>6317.7000000000007</v>
      </c>
      <c r="H15" s="3" t="s">
        <v>21</v>
      </c>
      <c r="I15" s="4">
        <f t="shared" si="0"/>
        <v>6317.7000000000007</v>
      </c>
    </row>
    <row r="16" spans="1:9" x14ac:dyDescent="0.3">
      <c r="A16" s="3">
        <v>12039</v>
      </c>
      <c r="B16" s="3" t="s">
        <v>22</v>
      </c>
      <c r="C16" s="3" t="s">
        <v>6</v>
      </c>
      <c r="D16" s="4">
        <v>33525</v>
      </c>
      <c r="E16" s="4">
        <v>1005.75</v>
      </c>
      <c r="H16" s="3" t="s">
        <v>22</v>
      </c>
      <c r="I16" s="4">
        <f t="shared" si="0"/>
        <v>1005.75</v>
      </c>
    </row>
    <row r="17" spans="1:9" x14ac:dyDescent="0.3">
      <c r="A17" s="3">
        <v>12066</v>
      </c>
      <c r="B17" s="3" t="s">
        <v>23</v>
      </c>
      <c r="C17" s="3" t="s">
        <v>11</v>
      </c>
      <c r="D17" s="4">
        <v>28424</v>
      </c>
      <c r="E17" s="4">
        <v>852.71999999999991</v>
      </c>
      <c r="H17" s="3" t="s">
        <v>23</v>
      </c>
      <c r="I17" s="4">
        <f t="shared" si="0"/>
        <v>852.71999999999991</v>
      </c>
    </row>
    <row r="18" spans="1:9" x14ac:dyDescent="0.3">
      <c r="A18" s="3">
        <v>12051</v>
      </c>
      <c r="B18" s="3" t="s">
        <v>24</v>
      </c>
      <c r="C18" s="3" t="s">
        <v>6</v>
      </c>
      <c r="D18" s="4">
        <v>47307</v>
      </c>
      <c r="E18" s="4">
        <v>2365.35</v>
      </c>
      <c r="H18" s="3" t="s">
        <v>24</v>
      </c>
      <c r="I18" s="4">
        <f t="shared" si="0"/>
        <v>2365.35</v>
      </c>
    </row>
    <row r="19" spans="1:9" x14ac:dyDescent="0.3">
      <c r="A19" s="3">
        <v>12053</v>
      </c>
      <c r="B19" s="3" t="s">
        <v>25</v>
      </c>
      <c r="C19" s="3" t="s">
        <v>8</v>
      </c>
      <c r="D19" s="4">
        <v>74562</v>
      </c>
      <c r="E19" s="4">
        <v>7456.2000000000007</v>
      </c>
      <c r="H19" s="3" t="s">
        <v>25</v>
      </c>
      <c r="I19" s="4">
        <f t="shared" si="0"/>
        <v>7456.2000000000007</v>
      </c>
    </row>
    <row r="20" spans="1:9" x14ac:dyDescent="0.3">
      <c r="A20" s="3">
        <v>12076</v>
      </c>
      <c r="B20" s="3" t="s">
        <v>26</v>
      </c>
      <c r="C20" s="3" t="s">
        <v>4</v>
      </c>
      <c r="D20" s="4">
        <v>60912</v>
      </c>
      <c r="E20" s="4">
        <v>6091.2000000000007</v>
      </c>
      <c r="H20" s="3" t="s">
        <v>26</v>
      </c>
      <c r="I20" s="4">
        <f t="shared" si="0"/>
        <v>6091.2000000000007</v>
      </c>
    </row>
    <row r="21" spans="1:9" x14ac:dyDescent="0.3">
      <c r="A21" s="3">
        <v>12057</v>
      </c>
      <c r="B21" s="3" t="s">
        <v>27</v>
      </c>
      <c r="C21" s="3" t="s">
        <v>11</v>
      </c>
      <c r="D21" s="4">
        <v>71168</v>
      </c>
      <c r="E21" s="4">
        <v>7116.8</v>
      </c>
      <c r="H21" s="3" t="s">
        <v>27</v>
      </c>
      <c r="I21" s="4">
        <f t="shared" si="0"/>
        <v>7116.8</v>
      </c>
    </row>
    <row r="22" spans="1:9" x14ac:dyDescent="0.3">
      <c r="A22" s="3">
        <v>12012</v>
      </c>
      <c r="B22" s="3" t="s">
        <v>28</v>
      </c>
      <c r="C22" s="3" t="s">
        <v>4</v>
      </c>
      <c r="D22" s="4">
        <v>31028</v>
      </c>
      <c r="E22" s="4">
        <v>930.83999999999992</v>
      </c>
      <c r="H22" s="3" t="s">
        <v>28</v>
      </c>
      <c r="I22" s="4">
        <f t="shared" si="0"/>
        <v>930.83999999999992</v>
      </c>
    </row>
    <row r="23" spans="1:9" x14ac:dyDescent="0.3">
      <c r="A23" s="3">
        <v>12077</v>
      </c>
      <c r="B23" s="3" t="s">
        <v>29</v>
      </c>
      <c r="C23" s="3" t="s">
        <v>6</v>
      </c>
      <c r="D23" s="4">
        <v>69163</v>
      </c>
      <c r="E23" s="4">
        <v>6916.3</v>
      </c>
      <c r="H23" s="3" t="s">
        <v>29</v>
      </c>
      <c r="I23" s="4">
        <f t="shared" si="0"/>
        <v>6916.3</v>
      </c>
    </row>
    <row r="24" spans="1:9" x14ac:dyDescent="0.3">
      <c r="A24" s="3">
        <v>12045</v>
      </c>
      <c r="B24" s="3" t="s">
        <v>30</v>
      </c>
      <c r="C24" s="3" t="s">
        <v>4</v>
      </c>
      <c r="D24" s="4">
        <v>71917</v>
      </c>
      <c r="E24" s="4">
        <v>7191.7000000000007</v>
      </c>
      <c r="H24" s="3" t="s">
        <v>30</v>
      </c>
      <c r="I24" s="4">
        <f t="shared" si="0"/>
        <v>7191.7000000000007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6810-5DE2-4CF6-BE44-BB241964C5E8}">
  <dimension ref="A1:J24"/>
  <sheetViews>
    <sheetView zoomScale="120" zoomScaleNormal="120" workbookViewId="0">
      <selection activeCell="H2" sqref="H2"/>
    </sheetView>
  </sheetViews>
  <sheetFormatPr defaultRowHeight="15.6" x14ac:dyDescent="0.3"/>
  <cols>
    <col min="2" max="2" width="11.69921875" customWidth="1"/>
    <col min="4" max="4" width="11.69921875" customWidth="1"/>
    <col min="5" max="5" width="12.09765625" customWidth="1"/>
    <col min="8" max="8" width="11.59765625" customWidth="1"/>
  </cols>
  <sheetData>
    <row r="1" spans="1:8" x14ac:dyDescent="0.3">
      <c r="A1" s="1" t="s">
        <v>0</v>
      </c>
      <c r="B1" s="1" t="s">
        <v>2</v>
      </c>
      <c r="C1" s="1" t="s">
        <v>31</v>
      </c>
      <c r="D1" s="1" t="s">
        <v>32</v>
      </c>
      <c r="E1" s="2" t="s">
        <v>1</v>
      </c>
      <c r="G1" s="2" t="s">
        <v>1</v>
      </c>
      <c r="H1" s="1" t="s">
        <v>32</v>
      </c>
    </row>
    <row r="2" spans="1:8" x14ac:dyDescent="0.3">
      <c r="A2" s="3">
        <v>12100</v>
      </c>
      <c r="B2" s="3" t="s">
        <v>4</v>
      </c>
      <c r="C2" s="4">
        <v>66489</v>
      </c>
      <c r="D2" s="4">
        <v>6648.9000000000005</v>
      </c>
      <c r="E2" s="3" t="s">
        <v>3</v>
      </c>
      <c r="G2" s="3" t="s">
        <v>3</v>
      </c>
      <c r="H2" s="4">
        <f>_xlfn.XLOOKUP(G2,E2:E14,D2:D14)</f>
        <v>6648.9000000000005</v>
      </c>
    </row>
    <row r="3" spans="1:8" x14ac:dyDescent="0.3">
      <c r="A3" s="3">
        <v>12003</v>
      </c>
      <c r="B3" s="3" t="s">
        <v>6</v>
      </c>
      <c r="C3" s="4">
        <v>45645</v>
      </c>
      <c r="D3" s="4">
        <v>2282.25</v>
      </c>
      <c r="E3" s="3" t="s">
        <v>5</v>
      </c>
      <c r="G3" s="3" t="s">
        <v>5</v>
      </c>
      <c r="H3" s="4">
        <f t="shared" ref="H3:H24" si="0">_xlfn.XLOOKUP(G3,E3:E15,D3:D15)</f>
        <v>2282.25</v>
      </c>
    </row>
    <row r="4" spans="1:8" x14ac:dyDescent="0.3">
      <c r="A4" s="3">
        <v>12021</v>
      </c>
      <c r="B4" s="3" t="s">
        <v>8</v>
      </c>
      <c r="C4" s="4">
        <v>40676</v>
      </c>
      <c r="D4" s="4">
        <v>2033.8000000000002</v>
      </c>
      <c r="E4" s="3" t="s">
        <v>7</v>
      </c>
      <c r="G4" s="3" t="s">
        <v>7</v>
      </c>
      <c r="H4" s="4">
        <f t="shared" si="0"/>
        <v>2033.8000000000002</v>
      </c>
    </row>
    <row r="5" spans="1:8" x14ac:dyDescent="0.3">
      <c r="A5" s="3">
        <v>12061</v>
      </c>
      <c r="B5" s="3" t="s">
        <v>4</v>
      </c>
      <c r="C5" s="4">
        <v>67868</v>
      </c>
      <c r="D5" s="4">
        <v>6786.8</v>
      </c>
      <c r="E5" s="3" t="s">
        <v>9</v>
      </c>
      <c r="G5" s="3" t="s">
        <v>9</v>
      </c>
      <c r="H5" s="4">
        <f t="shared" si="0"/>
        <v>6786.8</v>
      </c>
    </row>
    <row r="6" spans="1:8" x14ac:dyDescent="0.3">
      <c r="A6" s="3">
        <v>12082</v>
      </c>
      <c r="B6" s="3" t="s">
        <v>11</v>
      </c>
      <c r="C6" s="4">
        <v>28256</v>
      </c>
      <c r="D6" s="4">
        <v>847.68</v>
      </c>
      <c r="E6" s="3" t="s">
        <v>10</v>
      </c>
      <c r="G6" s="3" t="s">
        <v>10</v>
      </c>
      <c r="H6" s="4">
        <f t="shared" si="0"/>
        <v>847.68</v>
      </c>
    </row>
    <row r="7" spans="1:8" x14ac:dyDescent="0.3">
      <c r="A7" s="3">
        <v>12058</v>
      </c>
      <c r="B7" s="3" t="s">
        <v>4</v>
      </c>
      <c r="C7" s="4">
        <v>49172</v>
      </c>
      <c r="D7" s="4">
        <v>2458.6000000000004</v>
      </c>
      <c r="E7" s="3" t="s">
        <v>12</v>
      </c>
      <c r="G7" s="3" t="s">
        <v>12</v>
      </c>
      <c r="H7" s="4">
        <f t="shared" si="0"/>
        <v>2458.6000000000004</v>
      </c>
    </row>
    <row r="8" spans="1:8" x14ac:dyDescent="0.3">
      <c r="A8" s="3">
        <v>12033</v>
      </c>
      <c r="B8" s="3" t="s">
        <v>6</v>
      </c>
      <c r="C8" s="4">
        <v>55641</v>
      </c>
      <c r="D8" s="4">
        <v>2782.05</v>
      </c>
      <c r="E8" s="3" t="s">
        <v>13</v>
      </c>
      <c r="G8" s="3" t="s">
        <v>13</v>
      </c>
      <c r="H8" s="4">
        <f t="shared" si="0"/>
        <v>2782.05</v>
      </c>
    </row>
    <row r="9" spans="1:8" x14ac:dyDescent="0.3">
      <c r="A9" s="3">
        <v>12063</v>
      </c>
      <c r="B9" s="3" t="s">
        <v>15</v>
      </c>
      <c r="C9" s="4">
        <v>48762</v>
      </c>
      <c r="D9" s="4">
        <v>2438.1</v>
      </c>
      <c r="E9" s="3" t="s">
        <v>14</v>
      </c>
      <c r="G9" s="3" t="s">
        <v>14</v>
      </c>
      <c r="H9" s="4">
        <f t="shared" si="0"/>
        <v>2438.1</v>
      </c>
    </row>
    <row r="10" spans="1:8" x14ac:dyDescent="0.3">
      <c r="A10" s="3">
        <v>12008</v>
      </c>
      <c r="B10" s="3" t="s">
        <v>15</v>
      </c>
      <c r="C10" s="4">
        <v>35138</v>
      </c>
      <c r="D10" s="4">
        <v>1054.1399999999999</v>
      </c>
      <c r="E10" s="3" t="s">
        <v>16</v>
      </c>
      <c r="G10" s="3" t="s">
        <v>16</v>
      </c>
      <c r="H10" s="4">
        <f t="shared" si="0"/>
        <v>1054.1399999999999</v>
      </c>
    </row>
    <row r="11" spans="1:8" x14ac:dyDescent="0.3">
      <c r="A11" s="3">
        <v>12044</v>
      </c>
      <c r="B11" s="3" t="s">
        <v>6</v>
      </c>
      <c r="C11" s="4">
        <v>72855</v>
      </c>
      <c r="D11" s="4">
        <v>7285.5</v>
      </c>
      <c r="E11" s="3" t="s">
        <v>17</v>
      </c>
      <c r="G11" s="3" t="s">
        <v>17</v>
      </c>
      <c r="H11" s="4">
        <f t="shared" si="0"/>
        <v>7285.5</v>
      </c>
    </row>
    <row r="12" spans="1:8" x14ac:dyDescent="0.3">
      <c r="A12" s="3">
        <v>12040</v>
      </c>
      <c r="B12" s="3" t="s">
        <v>11</v>
      </c>
      <c r="C12" s="4">
        <v>43621</v>
      </c>
      <c r="D12" s="4">
        <v>2181.0500000000002</v>
      </c>
      <c r="E12" s="3" t="s">
        <v>18</v>
      </c>
      <c r="G12" s="3" t="s">
        <v>18</v>
      </c>
      <c r="H12" s="4">
        <f t="shared" si="0"/>
        <v>2181.0500000000002</v>
      </c>
    </row>
    <row r="13" spans="1:8" x14ac:dyDescent="0.3">
      <c r="A13" s="3">
        <v>12011</v>
      </c>
      <c r="B13" s="3" t="s">
        <v>4</v>
      </c>
      <c r="C13" s="4">
        <v>49511</v>
      </c>
      <c r="D13" s="4">
        <v>2475.5500000000002</v>
      </c>
      <c r="E13" s="3" t="s">
        <v>19</v>
      </c>
      <c r="G13" s="3" t="s">
        <v>19</v>
      </c>
      <c r="H13" s="4">
        <f t="shared" si="0"/>
        <v>2475.5500000000002</v>
      </c>
    </row>
    <row r="14" spans="1:8" x14ac:dyDescent="0.3">
      <c r="A14" s="3">
        <v>12050</v>
      </c>
      <c r="B14" s="3" t="s">
        <v>11</v>
      </c>
      <c r="C14" s="4">
        <v>50922</v>
      </c>
      <c r="D14" s="4">
        <v>2546.1000000000004</v>
      </c>
      <c r="E14" s="3" t="s">
        <v>20</v>
      </c>
      <c r="G14" s="3" t="s">
        <v>20</v>
      </c>
      <c r="H14" s="4">
        <f t="shared" si="0"/>
        <v>2546.1000000000004</v>
      </c>
    </row>
    <row r="15" spans="1:8" x14ac:dyDescent="0.3">
      <c r="A15" s="3">
        <v>12034</v>
      </c>
      <c r="B15" s="3" t="s">
        <v>15</v>
      </c>
      <c r="C15" s="4">
        <v>63177</v>
      </c>
      <c r="D15" s="4">
        <v>6317.7000000000007</v>
      </c>
      <c r="E15" s="3" t="s">
        <v>21</v>
      </c>
      <c r="G15" s="3" t="s">
        <v>21</v>
      </c>
      <c r="H15" s="4">
        <f t="shared" si="0"/>
        <v>6317.7000000000007</v>
      </c>
    </row>
    <row r="16" spans="1:8" x14ac:dyDescent="0.3">
      <c r="A16" s="3">
        <v>12039</v>
      </c>
      <c r="B16" s="3" t="s">
        <v>6</v>
      </c>
      <c r="C16" s="4">
        <v>33525</v>
      </c>
      <c r="D16" s="4">
        <v>1005.75</v>
      </c>
      <c r="E16" s="3" t="s">
        <v>22</v>
      </c>
      <c r="G16" s="3" t="s">
        <v>22</v>
      </c>
      <c r="H16" s="4">
        <f t="shared" si="0"/>
        <v>1005.75</v>
      </c>
    </row>
    <row r="17" spans="1:10" x14ac:dyDescent="0.3">
      <c r="A17" s="3">
        <v>12066</v>
      </c>
      <c r="B17" s="3" t="s">
        <v>11</v>
      </c>
      <c r="C17" s="4">
        <v>28424</v>
      </c>
      <c r="D17" s="4">
        <v>852.71999999999991</v>
      </c>
      <c r="E17" s="3" t="s">
        <v>23</v>
      </c>
      <c r="G17" s="3" t="s">
        <v>23</v>
      </c>
      <c r="H17" s="4">
        <f t="shared" si="0"/>
        <v>852.71999999999991</v>
      </c>
    </row>
    <row r="18" spans="1:10" x14ac:dyDescent="0.3">
      <c r="A18" s="3">
        <v>12051</v>
      </c>
      <c r="B18" s="3" t="s">
        <v>6</v>
      </c>
      <c r="C18" s="4">
        <v>47307</v>
      </c>
      <c r="D18" s="4">
        <v>2365.35</v>
      </c>
      <c r="E18" s="3" t="s">
        <v>24</v>
      </c>
      <c r="G18" s="3" t="s">
        <v>24</v>
      </c>
      <c r="H18" s="4">
        <f t="shared" si="0"/>
        <v>2365.35</v>
      </c>
    </row>
    <row r="19" spans="1:10" x14ac:dyDescent="0.3">
      <c r="A19" s="3">
        <v>12053</v>
      </c>
      <c r="B19" s="3" t="s">
        <v>8</v>
      </c>
      <c r="C19" s="4">
        <v>74562</v>
      </c>
      <c r="D19" s="4">
        <v>7456.2000000000007</v>
      </c>
      <c r="E19" s="3" t="s">
        <v>25</v>
      </c>
      <c r="G19" s="3" t="s">
        <v>25</v>
      </c>
      <c r="H19" s="4">
        <f t="shared" si="0"/>
        <v>7456.2000000000007</v>
      </c>
    </row>
    <row r="20" spans="1:10" x14ac:dyDescent="0.3">
      <c r="A20" s="3">
        <v>12076</v>
      </c>
      <c r="B20" s="3" t="s">
        <v>4</v>
      </c>
      <c r="C20" s="4">
        <v>60912</v>
      </c>
      <c r="D20" s="4">
        <v>6091.2000000000007</v>
      </c>
      <c r="E20" s="3" t="s">
        <v>26</v>
      </c>
      <c r="G20" s="3" t="s">
        <v>26</v>
      </c>
      <c r="H20" s="4">
        <f t="shared" si="0"/>
        <v>6091.2000000000007</v>
      </c>
    </row>
    <row r="21" spans="1:10" x14ac:dyDescent="0.3">
      <c r="A21" s="3">
        <v>12057</v>
      </c>
      <c r="B21" s="3" t="s">
        <v>11</v>
      </c>
      <c r="C21" s="4">
        <v>71168</v>
      </c>
      <c r="D21" s="4">
        <v>7116.8</v>
      </c>
      <c r="E21" s="3" t="s">
        <v>27</v>
      </c>
      <c r="G21" s="3" t="s">
        <v>27</v>
      </c>
      <c r="H21" s="4">
        <f t="shared" si="0"/>
        <v>7116.8</v>
      </c>
    </row>
    <row r="22" spans="1:10" x14ac:dyDescent="0.3">
      <c r="A22" s="3">
        <v>12012</v>
      </c>
      <c r="B22" s="3" t="s">
        <v>4</v>
      </c>
      <c r="C22" s="4">
        <v>31028</v>
      </c>
      <c r="D22" s="4">
        <v>930.83999999999992</v>
      </c>
      <c r="E22" s="3" t="s">
        <v>28</v>
      </c>
      <c r="G22" s="3" t="s">
        <v>28</v>
      </c>
      <c r="H22" s="4">
        <f t="shared" si="0"/>
        <v>930.83999999999992</v>
      </c>
      <c r="J22" t="s">
        <v>38</v>
      </c>
    </row>
    <row r="23" spans="1:10" x14ac:dyDescent="0.3">
      <c r="A23" s="3">
        <v>12077</v>
      </c>
      <c r="B23" s="3" t="s">
        <v>6</v>
      </c>
      <c r="C23" s="4">
        <v>69163</v>
      </c>
      <c r="D23" s="4">
        <v>6916.3</v>
      </c>
      <c r="E23" s="3" t="s">
        <v>29</v>
      </c>
      <c r="G23" s="3" t="s">
        <v>29</v>
      </c>
      <c r="H23" s="4">
        <f t="shared" si="0"/>
        <v>6916.3</v>
      </c>
    </row>
    <row r="24" spans="1:10" x14ac:dyDescent="0.3">
      <c r="A24" s="3">
        <v>12045</v>
      </c>
      <c r="B24" s="3" t="s">
        <v>4</v>
      </c>
      <c r="C24" s="4">
        <v>71917</v>
      </c>
      <c r="D24" s="4">
        <v>7191.7000000000007</v>
      </c>
      <c r="E24" s="3" t="s">
        <v>30</v>
      </c>
      <c r="G24" s="3" t="s">
        <v>30</v>
      </c>
      <c r="H24" s="4">
        <f t="shared" si="0"/>
        <v>7191.7000000000007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2F06-1B69-4C68-BDC9-2BE03749A9D0}">
  <dimension ref="A1:J25"/>
  <sheetViews>
    <sheetView topLeftCell="A14" zoomScale="120" zoomScaleNormal="120" workbookViewId="0">
      <selection activeCell="I27" sqref="I27"/>
    </sheetView>
  </sheetViews>
  <sheetFormatPr defaultRowHeight="15.6" x14ac:dyDescent="0.3"/>
  <cols>
    <col min="2" max="2" width="10.796875" customWidth="1"/>
    <col min="3" max="3" width="12.296875" customWidth="1"/>
    <col min="5" max="5" width="12" customWidth="1"/>
    <col min="8" max="8" width="9.59765625" customWidth="1"/>
    <col min="9" max="9" width="14.09765625" customWidth="1"/>
    <col min="12" max="12" width="15.59765625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31</v>
      </c>
      <c r="E1" s="1" t="s">
        <v>32</v>
      </c>
      <c r="I1" s="2" t="s">
        <v>1</v>
      </c>
      <c r="J1" s="1" t="s">
        <v>32</v>
      </c>
    </row>
    <row r="2" spans="1:10" x14ac:dyDescent="0.3">
      <c r="A2" s="3">
        <v>12100</v>
      </c>
      <c r="B2" s="3" t="s">
        <v>3</v>
      </c>
      <c r="C2" s="3" t="s">
        <v>4</v>
      </c>
      <c r="D2" s="4">
        <v>66489</v>
      </c>
      <c r="E2" s="4">
        <v>6648.9000000000005</v>
      </c>
      <c r="I2" s="3" t="s">
        <v>3</v>
      </c>
      <c r="J2" s="14">
        <f t="shared" ref="J2:J25" si="0">_xlfn.XLOOKUP(I2,B2:B24,E2:E24,"Employee Not Found")</f>
        <v>6648.9000000000005</v>
      </c>
    </row>
    <row r="3" spans="1:10" x14ac:dyDescent="0.3">
      <c r="A3" s="3">
        <v>12003</v>
      </c>
      <c r="B3" s="3" t="s">
        <v>5</v>
      </c>
      <c r="C3" s="3" t="s">
        <v>6</v>
      </c>
      <c r="D3" s="4">
        <v>45645</v>
      </c>
      <c r="E3" s="4">
        <v>2282.25</v>
      </c>
      <c r="I3" s="3" t="s">
        <v>5</v>
      </c>
      <c r="J3" s="14">
        <f t="shared" si="0"/>
        <v>2282.25</v>
      </c>
    </row>
    <row r="4" spans="1:10" x14ac:dyDescent="0.3">
      <c r="A4" s="3">
        <v>12021</v>
      </c>
      <c r="B4" s="3" t="s">
        <v>7</v>
      </c>
      <c r="C4" s="3" t="s">
        <v>8</v>
      </c>
      <c r="D4" s="4">
        <v>40676</v>
      </c>
      <c r="E4" s="4">
        <v>2033.8000000000002</v>
      </c>
      <c r="I4" s="3" t="s">
        <v>7</v>
      </c>
      <c r="J4" s="14">
        <f t="shared" si="0"/>
        <v>2033.8000000000002</v>
      </c>
    </row>
    <row r="5" spans="1:10" x14ac:dyDescent="0.3">
      <c r="A5" s="3">
        <v>12061</v>
      </c>
      <c r="B5" s="3" t="s">
        <v>9</v>
      </c>
      <c r="C5" s="3" t="s">
        <v>4</v>
      </c>
      <c r="D5" s="4">
        <v>67868</v>
      </c>
      <c r="E5" s="4">
        <v>6786.8</v>
      </c>
      <c r="I5" s="3" t="s">
        <v>9</v>
      </c>
      <c r="J5" s="14">
        <f t="shared" si="0"/>
        <v>6786.8</v>
      </c>
    </row>
    <row r="6" spans="1:10" x14ac:dyDescent="0.3">
      <c r="A6" s="3">
        <v>12082</v>
      </c>
      <c r="B6" s="3" t="s">
        <v>10</v>
      </c>
      <c r="C6" s="3" t="s">
        <v>11</v>
      </c>
      <c r="D6" s="4">
        <v>28256</v>
      </c>
      <c r="E6" s="4">
        <v>847.68</v>
      </c>
      <c r="I6" s="3" t="s">
        <v>10</v>
      </c>
      <c r="J6" s="14">
        <f t="shared" si="0"/>
        <v>847.68</v>
      </c>
    </row>
    <row r="7" spans="1:10" x14ac:dyDescent="0.3">
      <c r="A7" s="3">
        <v>12058</v>
      </c>
      <c r="B7" s="3" t="s">
        <v>12</v>
      </c>
      <c r="C7" s="3" t="s">
        <v>4</v>
      </c>
      <c r="D7" s="4">
        <v>49172</v>
      </c>
      <c r="E7" s="4">
        <v>2458.6000000000004</v>
      </c>
      <c r="I7" s="3" t="s">
        <v>12</v>
      </c>
      <c r="J7" s="14">
        <f t="shared" si="0"/>
        <v>2458.6000000000004</v>
      </c>
    </row>
    <row r="8" spans="1:10" x14ac:dyDescent="0.3">
      <c r="A8" s="3">
        <v>12033</v>
      </c>
      <c r="B8" s="3" t="s">
        <v>13</v>
      </c>
      <c r="C8" s="3" t="s">
        <v>6</v>
      </c>
      <c r="D8" s="4">
        <v>55641</v>
      </c>
      <c r="E8" s="4">
        <v>2782.05</v>
      </c>
      <c r="I8" s="3" t="s">
        <v>13</v>
      </c>
      <c r="J8" s="14">
        <f t="shared" si="0"/>
        <v>2782.05</v>
      </c>
    </row>
    <row r="9" spans="1:10" x14ac:dyDescent="0.3">
      <c r="A9" s="3">
        <v>12063</v>
      </c>
      <c r="B9" s="3" t="s">
        <v>14</v>
      </c>
      <c r="C9" s="3" t="s">
        <v>15</v>
      </c>
      <c r="D9" s="4">
        <v>48762</v>
      </c>
      <c r="E9" s="4">
        <v>2438.1</v>
      </c>
      <c r="I9" s="3" t="s">
        <v>14</v>
      </c>
      <c r="J9" s="14">
        <f t="shared" si="0"/>
        <v>2438.1</v>
      </c>
    </row>
    <row r="10" spans="1:10" x14ac:dyDescent="0.3">
      <c r="A10" s="3">
        <v>12008</v>
      </c>
      <c r="B10" s="3" t="s">
        <v>16</v>
      </c>
      <c r="C10" s="3" t="s">
        <v>15</v>
      </c>
      <c r="D10" s="4">
        <v>35138</v>
      </c>
      <c r="E10" s="4">
        <v>1054.1399999999999</v>
      </c>
      <c r="I10" s="3" t="s">
        <v>16</v>
      </c>
      <c r="J10" s="14">
        <f t="shared" si="0"/>
        <v>1054.1399999999999</v>
      </c>
    </row>
    <row r="11" spans="1:10" x14ac:dyDescent="0.3">
      <c r="A11" s="3">
        <v>12044</v>
      </c>
      <c r="B11" s="3" t="s">
        <v>17</v>
      </c>
      <c r="C11" s="3" t="s">
        <v>6</v>
      </c>
      <c r="D11" s="4">
        <v>72855</v>
      </c>
      <c r="E11" s="4">
        <v>7285.5</v>
      </c>
      <c r="I11" s="3" t="s">
        <v>17</v>
      </c>
      <c r="J11" s="14">
        <f t="shared" si="0"/>
        <v>7285.5</v>
      </c>
    </row>
    <row r="12" spans="1:10" x14ac:dyDescent="0.3">
      <c r="A12" s="3">
        <v>12040</v>
      </c>
      <c r="B12" s="3" t="s">
        <v>18</v>
      </c>
      <c r="C12" s="3" t="s">
        <v>11</v>
      </c>
      <c r="D12" s="4">
        <v>43621</v>
      </c>
      <c r="E12" s="4">
        <v>2181.0500000000002</v>
      </c>
      <c r="I12" s="3" t="s">
        <v>18</v>
      </c>
      <c r="J12" s="14">
        <f t="shared" si="0"/>
        <v>2181.0500000000002</v>
      </c>
    </row>
    <row r="13" spans="1:10" x14ac:dyDescent="0.3">
      <c r="A13" s="3">
        <v>12011</v>
      </c>
      <c r="B13" s="3" t="s">
        <v>19</v>
      </c>
      <c r="C13" s="3" t="s">
        <v>4</v>
      </c>
      <c r="D13" s="4">
        <v>49511</v>
      </c>
      <c r="E13" s="4">
        <v>2475.5500000000002</v>
      </c>
      <c r="I13" s="3" t="s">
        <v>19</v>
      </c>
      <c r="J13" s="14">
        <f t="shared" si="0"/>
        <v>2475.5500000000002</v>
      </c>
    </row>
    <row r="14" spans="1:10" x14ac:dyDescent="0.3">
      <c r="A14" s="3">
        <v>12050</v>
      </c>
      <c r="B14" s="3" t="s">
        <v>20</v>
      </c>
      <c r="C14" s="3" t="s">
        <v>11</v>
      </c>
      <c r="D14" s="4">
        <v>50922</v>
      </c>
      <c r="E14" s="4">
        <v>2546.1000000000004</v>
      </c>
      <c r="I14" s="3" t="s">
        <v>20</v>
      </c>
      <c r="J14" s="14">
        <f t="shared" si="0"/>
        <v>2546.1000000000004</v>
      </c>
    </row>
    <row r="15" spans="1:10" x14ac:dyDescent="0.3">
      <c r="A15" s="3">
        <v>12034</v>
      </c>
      <c r="B15" s="3" t="s">
        <v>21</v>
      </c>
      <c r="C15" s="3" t="s">
        <v>15</v>
      </c>
      <c r="D15" s="4">
        <v>63177</v>
      </c>
      <c r="E15" s="4">
        <v>6317.7000000000007</v>
      </c>
      <c r="I15" s="3" t="s">
        <v>21</v>
      </c>
      <c r="J15" s="14">
        <f t="shared" si="0"/>
        <v>6317.7000000000007</v>
      </c>
    </row>
    <row r="16" spans="1:10" x14ac:dyDescent="0.3">
      <c r="A16" s="3">
        <v>12039</v>
      </c>
      <c r="B16" s="3" t="s">
        <v>22</v>
      </c>
      <c r="C16" s="3" t="s">
        <v>6</v>
      </c>
      <c r="D16" s="4">
        <v>33525</v>
      </c>
      <c r="E16" s="4">
        <v>1005.75</v>
      </c>
      <c r="I16" s="3" t="s">
        <v>22</v>
      </c>
      <c r="J16" s="14">
        <f t="shared" si="0"/>
        <v>1005.75</v>
      </c>
    </row>
    <row r="17" spans="1:10" x14ac:dyDescent="0.3">
      <c r="A17" s="3">
        <v>12066</v>
      </c>
      <c r="B17" s="3" t="s">
        <v>23</v>
      </c>
      <c r="C17" s="3" t="s">
        <v>11</v>
      </c>
      <c r="D17" s="4">
        <v>28424</v>
      </c>
      <c r="E17" s="4">
        <v>852.71999999999991</v>
      </c>
      <c r="I17" s="3" t="s">
        <v>23</v>
      </c>
      <c r="J17" s="14">
        <f t="shared" si="0"/>
        <v>852.71999999999991</v>
      </c>
    </row>
    <row r="18" spans="1:10" x14ac:dyDescent="0.3">
      <c r="A18" s="3">
        <v>12051</v>
      </c>
      <c r="B18" s="3" t="s">
        <v>24</v>
      </c>
      <c r="C18" s="3" t="s">
        <v>6</v>
      </c>
      <c r="D18" s="4">
        <v>47307</v>
      </c>
      <c r="E18" s="4">
        <v>2365.35</v>
      </c>
      <c r="I18" s="3" t="s">
        <v>24</v>
      </c>
      <c r="J18" s="14">
        <f t="shared" si="0"/>
        <v>2365.35</v>
      </c>
    </row>
    <row r="19" spans="1:10" x14ac:dyDescent="0.3">
      <c r="A19" s="3">
        <v>12053</v>
      </c>
      <c r="B19" s="3" t="s">
        <v>25</v>
      </c>
      <c r="C19" s="3" t="s">
        <v>8</v>
      </c>
      <c r="D19" s="4">
        <v>74562</v>
      </c>
      <c r="E19" s="4">
        <v>7456.2000000000007</v>
      </c>
      <c r="I19" s="3" t="s">
        <v>25</v>
      </c>
      <c r="J19" s="14">
        <f t="shared" si="0"/>
        <v>7456.2000000000007</v>
      </c>
    </row>
    <row r="20" spans="1:10" x14ac:dyDescent="0.3">
      <c r="A20" s="3">
        <v>12076</v>
      </c>
      <c r="B20" s="3" t="s">
        <v>26</v>
      </c>
      <c r="C20" s="3" t="s">
        <v>4</v>
      </c>
      <c r="D20" s="4">
        <v>60912</v>
      </c>
      <c r="E20" s="4">
        <v>6091.2000000000007</v>
      </c>
      <c r="I20" s="3" t="s">
        <v>26</v>
      </c>
      <c r="J20" s="14">
        <f t="shared" si="0"/>
        <v>6091.2000000000007</v>
      </c>
    </row>
    <row r="21" spans="1:10" x14ac:dyDescent="0.3">
      <c r="A21" s="3">
        <v>12057</v>
      </c>
      <c r="B21" s="3" t="s">
        <v>27</v>
      </c>
      <c r="C21" s="3" t="s">
        <v>11</v>
      </c>
      <c r="D21" s="4">
        <v>71168</v>
      </c>
      <c r="E21" s="4">
        <v>7116.8</v>
      </c>
      <c r="I21" s="3" t="s">
        <v>27</v>
      </c>
      <c r="J21" s="14">
        <f t="shared" si="0"/>
        <v>7116.8</v>
      </c>
    </row>
    <row r="22" spans="1:10" x14ac:dyDescent="0.3">
      <c r="A22" s="3">
        <v>12012</v>
      </c>
      <c r="B22" s="3" t="s">
        <v>28</v>
      </c>
      <c r="C22" s="3" t="s">
        <v>4</v>
      </c>
      <c r="D22" s="4">
        <v>31028</v>
      </c>
      <c r="E22" s="4">
        <v>930.83999999999992</v>
      </c>
      <c r="I22" s="3" t="s">
        <v>28</v>
      </c>
      <c r="J22" s="14">
        <f t="shared" si="0"/>
        <v>930.83999999999992</v>
      </c>
    </row>
    <row r="23" spans="1:10" x14ac:dyDescent="0.3">
      <c r="A23" s="3">
        <v>12077</v>
      </c>
      <c r="B23" s="3" t="s">
        <v>29</v>
      </c>
      <c r="C23" s="3" t="s">
        <v>6</v>
      </c>
      <c r="D23" s="4">
        <v>69163</v>
      </c>
      <c r="E23" s="4">
        <v>6916.3</v>
      </c>
      <c r="I23" s="3" t="s">
        <v>29</v>
      </c>
      <c r="J23" s="14">
        <f t="shared" si="0"/>
        <v>6916.3</v>
      </c>
    </row>
    <row r="24" spans="1:10" x14ac:dyDescent="0.3">
      <c r="A24" s="3">
        <v>12045</v>
      </c>
      <c r="B24" s="3" t="s">
        <v>30</v>
      </c>
      <c r="C24" s="3" t="s">
        <v>4</v>
      </c>
      <c r="D24" s="4">
        <v>71917</v>
      </c>
      <c r="E24" s="4">
        <v>7191.7000000000007</v>
      </c>
      <c r="I24" s="3" t="s">
        <v>30</v>
      </c>
      <c r="J24" s="14">
        <f t="shared" si="0"/>
        <v>7191.7000000000007</v>
      </c>
    </row>
    <row r="25" spans="1:10" x14ac:dyDescent="0.3">
      <c r="C25" s="15" t="s">
        <v>39</v>
      </c>
      <c r="I25" s="15" t="s">
        <v>39</v>
      </c>
      <c r="J25" s="14" t="str">
        <f t="shared" si="0"/>
        <v>Employee Not Found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E3F1-52DA-4BAF-B53B-3A387328413C}">
  <dimension ref="A1:J24"/>
  <sheetViews>
    <sheetView topLeftCell="C6" zoomScale="120" zoomScaleNormal="120" workbookViewId="0">
      <selection activeCell="D6" sqref="D6"/>
    </sheetView>
  </sheetViews>
  <sheetFormatPr defaultRowHeight="15.6" x14ac:dyDescent="0.3"/>
  <cols>
    <col min="2" max="2" width="10.796875" customWidth="1"/>
    <col min="3" max="3" width="12.296875" customWidth="1"/>
    <col min="5" max="5" width="12" customWidth="1"/>
    <col min="8" max="8" width="9.59765625" customWidth="1"/>
    <col min="9" max="9" width="13.19921875" customWidth="1"/>
    <col min="10" max="10" width="11.09765625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31</v>
      </c>
      <c r="E1" s="1" t="s">
        <v>32</v>
      </c>
      <c r="H1" s="2" t="s">
        <v>1</v>
      </c>
      <c r="I1" s="1" t="s">
        <v>31</v>
      </c>
      <c r="J1" s="1" t="s">
        <v>32</v>
      </c>
    </row>
    <row r="2" spans="1:10" x14ac:dyDescent="0.3">
      <c r="A2" s="3">
        <v>12100</v>
      </c>
      <c r="B2" s="3" t="s">
        <v>3</v>
      </c>
      <c r="C2" s="3" t="s">
        <v>4</v>
      </c>
      <c r="D2" s="4">
        <v>66489</v>
      </c>
      <c r="E2" s="4">
        <v>6648.9000000000005</v>
      </c>
      <c r="H2" s="3" t="s">
        <v>3</v>
      </c>
      <c r="I2" s="4" cm="1">
        <f t="array" ref="I2:J2">_xlfn.XLOOKUP(H2,$B$2:$B$24,$D$2:$E$24)</f>
        <v>66489</v>
      </c>
      <c r="J2" s="4">
        <v>6648.9000000000005</v>
      </c>
    </row>
    <row r="3" spans="1:10" x14ac:dyDescent="0.3">
      <c r="A3" s="3">
        <v>12003</v>
      </c>
      <c r="B3" s="3" t="s">
        <v>5</v>
      </c>
      <c r="C3" s="3" t="s">
        <v>6</v>
      </c>
      <c r="D3" s="4">
        <v>45645</v>
      </c>
      <c r="E3" s="4">
        <v>2282.25</v>
      </c>
      <c r="H3" s="3" t="s">
        <v>5</v>
      </c>
      <c r="I3" s="4" cm="1">
        <f t="array" ref="I3:J3">_xlfn.XLOOKUP(H3,$B$2:$B$24,$D$2:$E$24)</f>
        <v>45645</v>
      </c>
      <c r="J3" s="4">
        <v>2282.25</v>
      </c>
    </row>
    <row r="4" spans="1:10" x14ac:dyDescent="0.3">
      <c r="A4" s="3">
        <v>12021</v>
      </c>
      <c r="B4" s="3" t="s">
        <v>7</v>
      </c>
      <c r="C4" s="3" t="s">
        <v>8</v>
      </c>
      <c r="D4" s="4">
        <v>40676</v>
      </c>
      <c r="E4" s="4">
        <v>2033.8000000000002</v>
      </c>
      <c r="H4" s="3" t="s">
        <v>7</v>
      </c>
      <c r="I4" s="4" cm="1">
        <f t="array" ref="I4:J4">_xlfn.XLOOKUP(H4,$B$2:$B$24,$D$2:$E$24)</f>
        <v>40676</v>
      </c>
      <c r="J4" s="4">
        <v>2033.8000000000002</v>
      </c>
    </row>
    <row r="5" spans="1:10" x14ac:dyDescent="0.3">
      <c r="A5" s="3">
        <v>12061</v>
      </c>
      <c r="B5" s="3" t="s">
        <v>9</v>
      </c>
      <c r="C5" s="3" t="s">
        <v>4</v>
      </c>
      <c r="D5" s="4">
        <v>67868</v>
      </c>
      <c r="E5" s="4">
        <v>6786.8</v>
      </c>
      <c r="H5" s="3" t="s">
        <v>9</v>
      </c>
      <c r="I5" s="4" cm="1">
        <f t="array" ref="I5:J5">_xlfn.XLOOKUP(H5,$B$2:$B$24,$D$2:$E$24)</f>
        <v>67868</v>
      </c>
      <c r="J5" s="4">
        <v>6786.8</v>
      </c>
    </row>
    <row r="6" spans="1:10" x14ac:dyDescent="0.3">
      <c r="A6" s="3">
        <v>12082</v>
      </c>
      <c r="B6" s="3" t="s">
        <v>10</v>
      </c>
      <c r="C6" s="3" t="s">
        <v>11</v>
      </c>
      <c r="D6" s="4">
        <v>28256</v>
      </c>
      <c r="E6" s="4">
        <v>847.68</v>
      </c>
      <c r="H6" s="3" t="s">
        <v>10</v>
      </c>
      <c r="I6" s="4" cm="1">
        <f t="array" ref="I6:J6">_xlfn.XLOOKUP(H6,$B$2:$B$24,$D$2:$E$24)</f>
        <v>28256</v>
      </c>
      <c r="J6" s="14">
        <v>847.68</v>
      </c>
    </row>
    <row r="7" spans="1:10" x14ac:dyDescent="0.3">
      <c r="A7" s="3">
        <v>12058</v>
      </c>
      <c r="B7" s="3" t="s">
        <v>12</v>
      </c>
      <c r="C7" s="3" t="s">
        <v>4</v>
      </c>
      <c r="D7" s="4">
        <v>49172</v>
      </c>
      <c r="E7" s="4">
        <v>2458.6000000000004</v>
      </c>
      <c r="H7" s="3" t="s">
        <v>12</v>
      </c>
      <c r="I7" s="4" cm="1">
        <f t="array" ref="I7:J7">_xlfn.XLOOKUP(H7,$B$2:$B$24,$D$2:$E$24)</f>
        <v>49172</v>
      </c>
      <c r="J7" s="14">
        <v>2458.6000000000004</v>
      </c>
    </row>
    <row r="8" spans="1:10" x14ac:dyDescent="0.3">
      <c r="A8" s="3">
        <v>12033</v>
      </c>
      <c r="B8" s="3" t="s">
        <v>13</v>
      </c>
      <c r="C8" s="3" t="s">
        <v>6</v>
      </c>
      <c r="D8" s="4">
        <v>55641</v>
      </c>
      <c r="E8" s="4">
        <v>2782.05</v>
      </c>
      <c r="H8" s="3" t="s">
        <v>13</v>
      </c>
      <c r="I8" s="4" cm="1">
        <f t="array" ref="I8:J8">_xlfn.XLOOKUP(H8,$B$2:$B$24,$D$2:$E$24)</f>
        <v>55641</v>
      </c>
      <c r="J8" s="14">
        <v>2782.05</v>
      </c>
    </row>
    <row r="9" spans="1:10" x14ac:dyDescent="0.3">
      <c r="A9" s="3">
        <v>12063</v>
      </c>
      <c r="B9" s="3" t="s">
        <v>14</v>
      </c>
      <c r="C9" s="3" t="s">
        <v>15</v>
      </c>
      <c r="D9" s="4">
        <v>48762</v>
      </c>
      <c r="E9" s="4">
        <v>2438.1</v>
      </c>
      <c r="H9" s="3" t="s">
        <v>14</v>
      </c>
      <c r="I9" s="4" cm="1">
        <f t="array" ref="I9:J9">_xlfn.XLOOKUP(H9,$B$2:$B$24,$D$2:$E$24)</f>
        <v>48762</v>
      </c>
      <c r="J9" s="14">
        <v>2438.1</v>
      </c>
    </row>
    <row r="10" spans="1:10" x14ac:dyDescent="0.3">
      <c r="A10" s="3">
        <v>12008</v>
      </c>
      <c r="B10" s="3" t="s">
        <v>16</v>
      </c>
      <c r="C10" s="3" t="s">
        <v>15</v>
      </c>
      <c r="D10" s="4">
        <v>35138</v>
      </c>
      <c r="E10" s="4">
        <v>1054.1399999999999</v>
      </c>
      <c r="H10" s="3" t="s">
        <v>16</v>
      </c>
      <c r="I10" s="4" cm="1">
        <f t="array" ref="I10:J10">_xlfn.XLOOKUP(H10,$B$2:$B$24,$D$2:$E$24)</f>
        <v>35138</v>
      </c>
      <c r="J10" s="14">
        <v>1054.1399999999999</v>
      </c>
    </row>
    <row r="11" spans="1:10" x14ac:dyDescent="0.3">
      <c r="A11" s="3">
        <v>12044</v>
      </c>
      <c r="B11" s="3" t="s">
        <v>17</v>
      </c>
      <c r="C11" s="3" t="s">
        <v>6</v>
      </c>
      <c r="D11" s="4">
        <v>72855</v>
      </c>
      <c r="E11" s="4">
        <v>7285.5</v>
      </c>
      <c r="H11" s="3" t="s">
        <v>17</v>
      </c>
      <c r="I11" s="4" cm="1">
        <f t="array" ref="I11:J11">_xlfn.XLOOKUP(H11,$B$2:$B$24,$D$2:$E$24)</f>
        <v>72855</v>
      </c>
      <c r="J11" s="14">
        <v>7285.5</v>
      </c>
    </row>
    <row r="12" spans="1:10" x14ac:dyDescent="0.3">
      <c r="A12" s="3">
        <v>12040</v>
      </c>
      <c r="B12" s="3" t="s">
        <v>18</v>
      </c>
      <c r="C12" s="3" t="s">
        <v>11</v>
      </c>
      <c r="D12" s="4">
        <v>43621</v>
      </c>
      <c r="E12" s="4">
        <v>2181.0500000000002</v>
      </c>
      <c r="H12" s="3" t="s">
        <v>18</v>
      </c>
      <c r="I12" s="4" cm="1">
        <f t="array" ref="I12:J12">_xlfn.XLOOKUP(H12,$B$2:$B$24,$D$2:$E$24)</f>
        <v>43621</v>
      </c>
      <c r="J12" s="14">
        <v>2181.0500000000002</v>
      </c>
    </row>
    <row r="13" spans="1:10" x14ac:dyDescent="0.3">
      <c r="A13" s="3">
        <v>12011</v>
      </c>
      <c r="B13" s="3" t="s">
        <v>19</v>
      </c>
      <c r="C13" s="3" t="s">
        <v>4</v>
      </c>
      <c r="D13" s="4">
        <v>49511</v>
      </c>
      <c r="E13" s="4">
        <v>2475.5500000000002</v>
      </c>
      <c r="H13" s="3" t="s">
        <v>19</v>
      </c>
      <c r="I13" s="4" cm="1">
        <f t="array" ref="I13:J13">_xlfn.XLOOKUP(H13,$B$2:$B$24,$D$2:$E$24)</f>
        <v>49511</v>
      </c>
      <c r="J13" s="14">
        <v>2475.5500000000002</v>
      </c>
    </row>
    <row r="14" spans="1:10" x14ac:dyDescent="0.3">
      <c r="A14" s="3">
        <v>12050</v>
      </c>
      <c r="B14" s="3" t="s">
        <v>20</v>
      </c>
      <c r="C14" s="3" t="s">
        <v>11</v>
      </c>
      <c r="D14" s="4">
        <v>50922</v>
      </c>
      <c r="E14" s="4">
        <v>2546.1000000000004</v>
      </c>
      <c r="H14" s="3" t="s">
        <v>20</v>
      </c>
      <c r="I14" s="4" cm="1">
        <f t="array" ref="I14:J14">_xlfn.XLOOKUP(H14,$B$2:$B$24,$D$2:$E$24)</f>
        <v>50922</v>
      </c>
      <c r="J14" s="14">
        <v>2546.1000000000004</v>
      </c>
    </row>
    <row r="15" spans="1:10" x14ac:dyDescent="0.3">
      <c r="A15" s="3">
        <v>12034</v>
      </c>
      <c r="B15" s="3" t="s">
        <v>21</v>
      </c>
      <c r="C15" s="3" t="s">
        <v>15</v>
      </c>
      <c r="D15" s="4">
        <v>63177</v>
      </c>
      <c r="E15" s="4">
        <v>6317.7000000000007</v>
      </c>
      <c r="H15" s="3" t="s">
        <v>21</v>
      </c>
      <c r="I15" s="4" cm="1">
        <f t="array" ref="I15:J15">_xlfn.XLOOKUP(H15,$B$2:$B$24,$D$2:$E$24)</f>
        <v>63177</v>
      </c>
      <c r="J15" s="14">
        <v>6317.7000000000007</v>
      </c>
    </row>
    <row r="16" spans="1:10" x14ac:dyDescent="0.3">
      <c r="A16" s="3">
        <v>12039</v>
      </c>
      <c r="B16" s="3" t="s">
        <v>22</v>
      </c>
      <c r="C16" s="3" t="s">
        <v>6</v>
      </c>
      <c r="D16" s="4">
        <v>33525</v>
      </c>
      <c r="E16" s="4">
        <v>1005.75</v>
      </c>
      <c r="H16" s="3" t="s">
        <v>22</v>
      </c>
      <c r="I16" s="4" cm="1">
        <f t="array" ref="I16:J16">_xlfn.XLOOKUP(H16,$B$2:$B$24,$D$2:$E$24)</f>
        <v>33525</v>
      </c>
      <c r="J16" s="14">
        <v>1005.75</v>
      </c>
    </row>
    <row r="17" spans="1:10" x14ac:dyDescent="0.3">
      <c r="A17" s="3">
        <v>12066</v>
      </c>
      <c r="B17" s="3" t="s">
        <v>23</v>
      </c>
      <c r="C17" s="3" t="s">
        <v>11</v>
      </c>
      <c r="D17" s="4">
        <v>28424</v>
      </c>
      <c r="E17" s="4">
        <v>852.71999999999991</v>
      </c>
      <c r="H17" s="3" t="s">
        <v>23</v>
      </c>
      <c r="I17" s="4" cm="1">
        <f t="array" ref="I17:J17">_xlfn.XLOOKUP(H17,$B$2:$B$24,$D$2:$E$24)</f>
        <v>28424</v>
      </c>
      <c r="J17" s="14">
        <v>852.71999999999991</v>
      </c>
    </row>
    <row r="18" spans="1:10" x14ac:dyDescent="0.3">
      <c r="A18" s="3">
        <v>12051</v>
      </c>
      <c r="B18" s="3" t="s">
        <v>24</v>
      </c>
      <c r="C18" s="3" t="s">
        <v>6</v>
      </c>
      <c r="D18" s="4">
        <v>47307</v>
      </c>
      <c r="E18" s="4">
        <v>2365.35</v>
      </c>
      <c r="H18" s="3" t="s">
        <v>24</v>
      </c>
      <c r="I18" s="4" cm="1">
        <f t="array" ref="I18:J18">_xlfn.XLOOKUP(H18,$B$2:$B$24,$D$2:$E$24)</f>
        <v>47307</v>
      </c>
      <c r="J18" s="14">
        <v>2365.35</v>
      </c>
    </row>
    <row r="19" spans="1:10" x14ac:dyDescent="0.3">
      <c r="A19" s="3">
        <v>12053</v>
      </c>
      <c r="B19" s="3" t="s">
        <v>25</v>
      </c>
      <c r="C19" s="3" t="s">
        <v>8</v>
      </c>
      <c r="D19" s="4">
        <v>74562</v>
      </c>
      <c r="E19" s="4">
        <v>7456.2000000000007</v>
      </c>
      <c r="H19" s="3" t="s">
        <v>25</v>
      </c>
      <c r="I19" s="4" cm="1">
        <f t="array" ref="I19:J19">_xlfn.XLOOKUP(H19,$B$2:$B$24,$D$2:$E$24)</f>
        <v>74562</v>
      </c>
      <c r="J19" s="14">
        <v>7456.2000000000007</v>
      </c>
    </row>
    <row r="20" spans="1:10" x14ac:dyDescent="0.3">
      <c r="A20" s="3">
        <v>12076</v>
      </c>
      <c r="B20" s="3" t="s">
        <v>26</v>
      </c>
      <c r="C20" s="3" t="s">
        <v>4</v>
      </c>
      <c r="D20" s="4">
        <v>60912</v>
      </c>
      <c r="E20" s="4">
        <v>6091.2000000000007</v>
      </c>
      <c r="H20" s="3" t="s">
        <v>26</v>
      </c>
      <c r="I20" s="4" cm="1">
        <f t="array" ref="I20:J20">_xlfn.XLOOKUP(H20,$B$2:$B$24,$D$2:$E$24)</f>
        <v>60912</v>
      </c>
      <c r="J20" s="14">
        <v>6091.2000000000007</v>
      </c>
    </row>
    <row r="21" spans="1:10" x14ac:dyDescent="0.3">
      <c r="A21" s="3">
        <v>12057</v>
      </c>
      <c r="B21" s="3" t="s">
        <v>27</v>
      </c>
      <c r="C21" s="3" t="s">
        <v>11</v>
      </c>
      <c r="D21" s="4">
        <v>71168</v>
      </c>
      <c r="E21" s="4">
        <v>7116.8</v>
      </c>
      <c r="H21" s="3" t="s">
        <v>27</v>
      </c>
      <c r="I21" s="4" cm="1">
        <f t="array" ref="I21:J21">_xlfn.XLOOKUP(H21,$B$2:$B$24,$D$2:$E$24)</f>
        <v>71168</v>
      </c>
      <c r="J21" s="14">
        <v>7116.8</v>
      </c>
    </row>
    <row r="22" spans="1:10" x14ac:dyDescent="0.3">
      <c r="A22" s="3">
        <v>12012</v>
      </c>
      <c r="B22" s="3" t="s">
        <v>28</v>
      </c>
      <c r="C22" s="3" t="s">
        <v>4</v>
      </c>
      <c r="D22" s="4">
        <v>31028</v>
      </c>
      <c r="E22" s="4">
        <v>930.83999999999992</v>
      </c>
      <c r="H22" s="3" t="s">
        <v>28</v>
      </c>
      <c r="I22" s="4" cm="1">
        <f t="array" ref="I22:J22">_xlfn.XLOOKUP(H22,$B$2:$B$24,$D$2:$E$24)</f>
        <v>31028</v>
      </c>
      <c r="J22" s="14">
        <v>930.83999999999992</v>
      </c>
    </row>
    <row r="23" spans="1:10" x14ac:dyDescent="0.3">
      <c r="A23" s="3">
        <v>12077</v>
      </c>
      <c r="B23" s="3" t="s">
        <v>29</v>
      </c>
      <c r="C23" s="3" t="s">
        <v>6</v>
      </c>
      <c r="D23" s="4">
        <v>69163</v>
      </c>
      <c r="E23" s="4">
        <v>6916.3</v>
      </c>
      <c r="H23" s="3" t="s">
        <v>29</v>
      </c>
      <c r="I23" s="4" cm="1">
        <f t="array" ref="I23:J23">_xlfn.XLOOKUP(H23,$B$2:$B$24,$D$2:$E$24)</f>
        <v>69163</v>
      </c>
      <c r="J23" s="14">
        <v>6916.3</v>
      </c>
    </row>
    <row r="24" spans="1:10" x14ac:dyDescent="0.3">
      <c r="A24" s="3">
        <v>12045</v>
      </c>
      <c r="B24" s="3" t="s">
        <v>30</v>
      </c>
      <c r="C24" s="3" t="s">
        <v>4</v>
      </c>
      <c r="D24" s="4">
        <v>71917</v>
      </c>
      <c r="E24" s="4">
        <v>7191.7000000000007</v>
      </c>
      <c r="H24" s="3" t="s">
        <v>30</v>
      </c>
      <c r="I24" s="4" cm="1">
        <f t="array" ref="I24:J24">_xlfn.XLOOKUP(H24,$B$2:$B$24,$D$2:$E$24)</f>
        <v>71917</v>
      </c>
      <c r="J24" s="14">
        <v>7191.7000000000007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3E72-A407-496E-9F6A-7A96B78CD196}">
  <dimension ref="A1:L24"/>
  <sheetViews>
    <sheetView zoomScale="120" zoomScaleNormal="120" workbookViewId="0">
      <selection activeCell="L2" sqref="L2"/>
    </sheetView>
  </sheetViews>
  <sheetFormatPr defaultRowHeight="15.6" x14ac:dyDescent="0.3"/>
  <cols>
    <col min="2" max="2" width="10.796875" customWidth="1"/>
    <col min="3" max="3" width="12.296875" customWidth="1"/>
    <col min="5" max="5" width="12" customWidth="1"/>
    <col min="8" max="8" width="9.59765625" customWidth="1"/>
    <col min="9" max="9" width="9.796875" customWidth="1"/>
    <col min="12" max="12" width="10.8984375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1" t="s">
        <v>31</v>
      </c>
      <c r="E1" s="1" t="s">
        <v>32</v>
      </c>
      <c r="K1" s="1" t="s">
        <v>31</v>
      </c>
      <c r="L1" s="1" t="s">
        <v>32</v>
      </c>
    </row>
    <row r="2" spans="1:12" x14ac:dyDescent="0.3">
      <c r="A2" s="3">
        <v>12100</v>
      </c>
      <c r="B2" s="3" t="s">
        <v>3</v>
      </c>
      <c r="C2" s="3" t="s">
        <v>4</v>
      </c>
      <c r="D2" s="4">
        <v>66489</v>
      </c>
      <c r="E2" s="13"/>
      <c r="K2" s="4">
        <v>66489</v>
      </c>
      <c r="L2" s="14">
        <f>_xlfn.XLOOKUP(K2,$H$3:$H$8,$I$3:$I$8,,1)</f>
        <v>0.13</v>
      </c>
    </row>
    <row r="3" spans="1:12" x14ac:dyDescent="0.3">
      <c r="A3" s="3">
        <v>12003</v>
      </c>
      <c r="B3" s="3" t="s">
        <v>5</v>
      </c>
      <c r="C3" s="3" t="s">
        <v>6</v>
      </c>
      <c r="D3" s="4">
        <v>45645</v>
      </c>
      <c r="E3" s="13"/>
      <c r="H3" s="2" t="s">
        <v>31</v>
      </c>
      <c r="I3" s="1" t="s">
        <v>32</v>
      </c>
      <c r="K3" s="4">
        <v>45645</v>
      </c>
      <c r="L3" s="14">
        <f t="shared" ref="L3:L24" si="0">_xlfn.XLOOKUP(K3,$H$3:$H$8,$I$3:$I$8,,1)</f>
        <v>0.1</v>
      </c>
    </row>
    <row r="4" spans="1:12" x14ac:dyDescent="0.3">
      <c r="A4" s="3">
        <v>12021</v>
      </c>
      <c r="B4" s="3" t="s">
        <v>7</v>
      </c>
      <c r="C4" s="3" t="s">
        <v>8</v>
      </c>
      <c r="D4" s="4">
        <v>40676</v>
      </c>
      <c r="E4" s="13"/>
      <c r="H4" s="4">
        <v>20000</v>
      </c>
      <c r="I4" s="12">
        <v>0.04</v>
      </c>
      <c r="K4" s="4">
        <v>40676</v>
      </c>
      <c r="L4" s="14">
        <f t="shared" si="0"/>
        <v>0.1</v>
      </c>
    </row>
    <row r="5" spans="1:12" x14ac:dyDescent="0.3">
      <c r="A5" s="3">
        <v>12061</v>
      </c>
      <c r="B5" s="3" t="s">
        <v>9</v>
      </c>
      <c r="C5" s="3" t="s">
        <v>4</v>
      </c>
      <c r="D5" s="4">
        <v>87500</v>
      </c>
      <c r="E5" s="13"/>
      <c r="H5" s="4">
        <v>40000</v>
      </c>
      <c r="I5" s="12">
        <v>7.0000000000000007E-2</v>
      </c>
      <c r="K5" s="4">
        <v>87500</v>
      </c>
      <c r="L5" s="14">
        <f t="shared" si="0"/>
        <v>0.19</v>
      </c>
    </row>
    <row r="6" spans="1:12" x14ac:dyDescent="0.3">
      <c r="A6" s="3">
        <v>12082</v>
      </c>
      <c r="B6" s="3" t="s">
        <v>10</v>
      </c>
      <c r="C6" s="3" t="s">
        <v>11</v>
      </c>
      <c r="D6" s="4">
        <v>28256</v>
      </c>
      <c r="E6" s="13"/>
      <c r="H6" s="4">
        <v>60000</v>
      </c>
      <c r="I6" s="12">
        <v>0.1</v>
      </c>
      <c r="K6" s="4">
        <v>28256</v>
      </c>
      <c r="L6" s="14">
        <f t="shared" si="0"/>
        <v>7.0000000000000007E-2</v>
      </c>
    </row>
    <row r="7" spans="1:12" x14ac:dyDescent="0.3">
      <c r="A7" s="3">
        <v>12058</v>
      </c>
      <c r="B7" s="3" t="s">
        <v>12</v>
      </c>
      <c r="C7" s="3" t="s">
        <v>4</v>
      </c>
      <c r="D7" s="4">
        <v>49172</v>
      </c>
      <c r="E7" s="13"/>
      <c r="H7" s="4">
        <v>80000</v>
      </c>
      <c r="I7" s="12">
        <v>0.13</v>
      </c>
      <c r="K7" s="4">
        <v>49172</v>
      </c>
      <c r="L7" s="14">
        <f t="shared" si="0"/>
        <v>0.1</v>
      </c>
    </row>
    <row r="8" spans="1:12" x14ac:dyDescent="0.3">
      <c r="A8" s="3">
        <v>12033</v>
      </c>
      <c r="B8" s="3" t="s">
        <v>13</v>
      </c>
      <c r="C8" s="3" t="s">
        <v>6</v>
      </c>
      <c r="D8" s="4">
        <v>96540</v>
      </c>
      <c r="E8" s="13"/>
      <c r="H8" s="17">
        <v>90000</v>
      </c>
      <c r="I8" s="16">
        <v>0.19</v>
      </c>
      <c r="K8" s="4">
        <v>96540</v>
      </c>
      <c r="L8" s="14" t="str">
        <f t="shared" si="0"/>
        <v>Commission</v>
      </c>
    </row>
    <row r="9" spans="1:12" x14ac:dyDescent="0.3">
      <c r="A9" s="3">
        <v>12063</v>
      </c>
      <c r="B9" s="3" t="s">
        <v>14</v>
      </c>
      <c r="C9" s="3" t="s">
        <v>15</v>
      </c>
      <c r="D9" s="4">
        <v>48762</v>
      </c>
      <c r="E9" s="13"/>
      <c r="K9" s="4">
        <v>48762</v>
      </c>
      <c r="L9" s="14">
        <f t="shared" si="0"/>
        <v>0.1</v>
      </c>
    </row>
    <row r="10" spans="1:12" x14ac:dyDescent="0.3">
      <c r="A10" s="3">
        <v>12008</v>
      </c>
      <c r="B10" s="3" t="s">
        <v>16</v>
      </c>
      <c r="C10" s="3" t="s">
        <v>15</v>
      </c>
      <c r="D10" s="4">
        <v>35138</v>
      </c>
      <c r="E10" s="13"/>
      <c r="K10" s="4">
        <v>35138</v>
      </c>
      <c r="L10" s="14">
        <f t="shared" si="0"/>
        <v>7.0000000000000007E-2</v>
      </c>
    </row>
    <row r="11" spans="1:12" x14ac:dyDescent="0.3">
      <c r="A11" s="3">
        <v>12044</v>
      </c>
      <c r="B11" s="3" t="s">
        <v>17</v>
      </c>
      <c r="C11" s="3" t="s">
        <v>6</v>
      </c>
      <c r="D11" s="4">
        <v>72855</v>
      </c>
      <c r="E11" s="13"/>
      <c r="K11" s="4">
        <v>72855</v>
      </c>
      <c r="L11" s="14">
        <f t="shared" si="0"/>
        <v>0.13</v>
      </c>
    </row>
    <row r="12" spans="1:12" x14ac:dyDescent="0.3">
      <c r="A12" s="3">
        <v>12040</v>
      </c>
      <c r="B12" s="3" t="s">
        <v>18</v>
      </c>
      <c r="C12" s="3" t="s">
        <v>11</v>
      </c>
      <c r="D12" s="4">
        <v>43621</v>
      </c>
      <c r="E12" s="13"/>
      <c r="K12" s="4">
        <v>43621</v>
      </c>
      <c r="L12" s="14">
        <f t="shared" si="0"/>
        <v>0.1</v>
      </c>
    </row>
    <row r="13" spans="1:12" x14ac:dyDescent="0.3">
      <c r="A13" s="3">
        <v>12011</v>
      </c>
      <c r="B13" s="3" t="s">
        <v>19</v>
      </c>
      <c r="C13" s="3" t="s">
        <v>4</v>
      </c>
      <c r="D13" s="4">
        <v>81250</v>
      </c>
      <c r="E13" s="13"/>
      <c r="K13" s="4">
        <v>81250</v>
      </c>
      <c r="L13" s="14">
        <f t="shared" si="0"/>
        <v>0.19</v>
      </c>
    </row>
    <row r="14" spans="1:12" x14ac:dyDescent="0.3">
      <c r="A14" s="3">
        <v>12050</v>
      </c>
      <c r="B14" s="3" t="s">
        <v>20</v>
      </c>
      <c r="C14" s="3" t="s">
        <v>11</v>
      </c>
      <c r="D14" s="4">
        <v>50922</v>
      </c>
      <c r="E14" s="13"/>
      <c r="K14" s="4">
        <v>50922</v>
      </c>
      <c r="L14" s="14">
        <f t="shared" si="0"/>
        <v>0.1</v>
      </c>
    </row>
    <row r="15" spans="1:12" x14ac:dyDescent="0.3">
      <c r="A15" s="3">
        <v>12034</v>
      </c>
      <c r="B15" s="3" t="s">
        <v>21</v>
      </c>
      <c r="C15" s="3" t="s">
        <v>15</v>
      </c>
      <c r="D15" s="4">
        <v>63177</v>
      </c>
      <c r="E15" s="13"/>
      <c r="K15" s="4">
        <v>63177</v>
      </c>
      <c r="L15" s="14">
        <f t="shared" si="0"/>
        <v>0.13</v>
      </c>
    </row>
    <row r="16" spans="1:12" x14ac:dyDescent="0.3">
      <c r="A16" s="3">
        <v>12039</v>
      </c>
      <c r="B16" s="3" t="s">
        <v>22</v>
      </c>
      <c r="C16" s="3" t="s">
        <v>6</v>
      </c>
      <c r="D16" s="4">
        <v>33525</v>
      </c>
      <c r="E16" s="13"/>
      <c r="K16" s="4">
        <v>33525</v>
      </c>
      <c r="L16" s="14">
        <f t="shared" si="0"/>
        <v>7.0000000000000007E-2</v>
      </c>
    </row>
    <row r="17" spans="1:12" x14ac:dyDescent="0.3">
      <c r="A17" s="3">
        <v>12066</v>
      </c>
      <c r="B17" s="3" t="s">
        <v>23</v>
      </c>
      <c r="C17" s="3" t="s">
        <v>11</v>
      </c>
      <c r="D17" s="4">
        <v>28424</v>
      </c>
      <c r="E17" s="13"/>
      <c r="K17" s="4">
        <v>28424</v>
      </c>
      <c r="L17" s="14">
        <f t="shared" si="0"/>
        <v>7.0000000000000007E-2</v>
      </c>
    </row>
    <row r="18" spans="1:12" x14ac:dyDescent="0.3">
      <c r="A18" s="3">
        <v>12051</v>
      </c>
      <c r="B18" s="3" t="s">
        <v>24</v>
      </c>
      <c r="C18" s="3" t="s">
        <v>6</v>
      </c>
      <c r="D18" s="4">
        <v>47307</v>
      </c>
      <c r="E18" s="13"/>
      <c r="K18" s="4">
        <v>47307</v>
      </c>
      <c r="L18" s="14">
        <f t="shared" si="0"/>
        <v>0.1</v>
      </c>
    </row>
    <row r="19" spans="1:12" x14ac:dyDescent="0.3">
      <c r="A19" s="3">
        <v>12053</v>
      </c>
      <c r="B19" s="3" t="s">
        <v>25</v>
      </c>
      <c r="C19" s="3" t="s">
        <v>8</v>
      </c>
      <c r="D19" s="4">
        <v>74562</v>
      </c>
      <c r="E19" s="13"/>
      <c r="K19" s="4">
        <v>74562</v>
      </c>
      <c r="L19" s="14">
        <f t="shared" si="0"/>
        <v>0.13</v>
      </c>
    </row>
    <row r="20" spans="1:12" x14ac:dyDescent="0.3">
      <c r="A20" s="3">
        <v>12076</v>
      </c>
      <c r="B20" s="3" t="s">
        <v>26</v>
      </c>
      <c r="C20" s="3" t="s">
        <v>4</v>
      </c>
      <c r="D20" s="4">
        <v>60912</v>
      </c>
      <c r="E20" s="13"/>
      <c r="K20" s="4">
        <v>60912</v>
      </c>
      <c r="L20" s="14">
        <f t="shared" si="0"/>
        <v>0.13</v>
      </c>
    </row>
    <row r="21" spans="1:12" x14ac:dyDescent="0.3">
      <c r="A21" s="3">
        <v>12057</v>
      </c>
      <c r="B21" s="3" t="s">
        <v>27</v>
      </c>
      <c r="C21" s="3" t="s">
        <v>11</v>
      </c>
      <c r="D21" s="4">
        <v>71168</v>
      </c>
      <c r="E21" s="13"/>
      <c r="K21" s="4">
        <v>71168</v>
      </c>
      <c r="L21" s="14">
        <f t="shared" si="0"/>
        <v>0.13</v>
      </c>
    </row>
    <row r="22" spans="1:12" x14ac:dyDescent="0.3">
      <c r="A22" s="3">
        <v>12012</v>
      </c>
      <c r="B22" s="3" t="s">
        <v>28</v>
      </c>
      <c r="C22" s="3" t="s">
        <v>4</v>
      </c>
      <c r="D22" s="4">
        <v>31028</v>
      </c>
      <c r="E22" s="13"/>
      <c r="K22" s="4">
        <v>31028</v>
      </c>
      <c r="L22" s="14">
        <f t="shared" si="0"/>
        <v>7.0000000000000007E-2</v>
      </c>
    </row>
    <row r="23" spans="1:12" x14ac:dyDescent="0.3">
      <c r="A23" s="3">
        <v>12077</v>
      </c>
      <c r="B23" s="3" t="s">
        <v>29</v>
      </c>
      <c r="C23" s="3" t="s">
        <v>6</v>
      </c>
      <c r="D23" s="4">
        <v>69163</v>
      </c>
      <c r="E23" s="13"/>
      <c r="K23" s="4">
        <v>69163</v>
      </c>
      <c r="L23" s="14">
        <f t="shared" si="0"/>
        <v>0.13</v>
      </c>
    </row>
    <row r="24" spans="1:12" x14ac:dyDescent="0.3">
      <c r="A24" s="3">
        <v>12045</v>
      </c>
      <c r="B24" s="3" t="s">
        <v>30</v>
      </c>
      <c r="C24" s="3" t="s">
        <v>4</v>
      </c>
      <c r="D24" s="4">
        <v>71917</v>
      </c>
      <c r="E24" s="13"/>
      <c r="K24" s="4">
        <v>71917</v>
      </c>
      <c r="L24" s="14">
        <f t="shared" si="0"/>
        <v>0.13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1711-B081-48ED-A7F3-51211D93D5FD}">
  <dimension ref="A1:H16"/>
  <sheetViews>
    <sheetView zoomScale="150" zoomScaleNormal="150" workbookViewId="0">
      <selection activeCell="H3" sqref="H3"/>
    </sheetView>
  </sheetViews>
  <sheetFormatPr defaultRowHeight="15.6" x14ac:dyDescent="0.3"/>
  <cols>
    <col min="1" max="1" width="12.296875" customWidth="1"/>
    <col min="2" max="2" width="10.8984375" customWidth="1"/>
    <col min="3" max="3" width="11.296875" customWidth="1"/>
    <col min="4" max="4" width="11.5" customWidth="1"/>
    <col min="6" max="7" width="10.19921875" customWidth="1"/>
    <col min="8" max="8" width="10.69921875" customWidth="1"/>
  </cols>
  <sheetData>
    <row r="1" spans="1:8" x14ac:dyDescent="0.3">
      <c r="A1" s="18" t="s">
        <v>1</v>
      </c>
      <c r="B1" s="20" t="s">
        <v>34</v>
      </c>
      <c r="C1" s="20"/>
      <c r="D1" s="20"/>
    </row>
    <row r="2" spans="1:8" x14ac:dyDescent="0.3">
      <c r="A2" s="19"/>
      <c r="B2" s="1">
        <v>2019</v>
      </c>
      <c r="C2" s="1">
        <v>2020</v>
      </c>
      <c r="D2" s="1">
        <v>2021</v>
      </c>
      <c r="F2" s="1" t="s">
        <v>35</v>
      </c>
      <c r="G2" s="1" t="s">
        <v>36</v>
      </c>
      <c r="H2" s="1" t="s">
        <v>34</v>
      </c>
    </row>
    <row r="3" spans="1:8" x14ac:dyDescent="0.3">
      <c r="A3" s="3" t="s">
        <v>3</v>
      </c>
      <c r="B3" s="9">
        <v>72982</v>
      </c>
      <c r="C3" s="9">
        <v>52813</v>
      </c>
      <c r="D3" s="9">
        <v>52135</v>
      </c>
      <c r="F3" s="3" t="s">
        <v>9</v>
      </c>
      <c r="G3" s="10">
        <v>2020</v>
      </c>
      <c r="H3" s="11" cm="1">
        <f t="array" ref="H3">_xlfn.XLOOKUP(F3,$A$3:$A$16,_xlfn.XLOOKUP(G3,$B$2:$D$2,$B$3:$D$16))</f>
        <v>81566</v>
      </c>
    </row>
    <row r="4" spans="1:8" x14ac:dyDescent="0.3">
      <c r="A4" s="3" t="s">
        <v>5</v>
      </c>
      <c r="B4" s="9">
        <v>64300</v>
      </c>
      <c r="C4" s="9">
        <v>59025</v>
      </c>
      <c r="D4" s="9">
        <v>78055</v>
      </c>
    </row>
    <row r="5" spans="1:8" x14ac:dyDescent="0.3">
      <c r="A5" s="3" t="s">
        <v>7</v>
      </c>
      <c r="B5" s="9">
        <v>78920</v>
      </c>
      <c r="C5" s="9">
        <v>80530</v>
      </c>
      <c r="D5" s="9">
        <v>51870</v>
      </c>
    </row>
    <row r="6" spans="1:8" x14ac:dyDescent="0.3">
      <c r="A6" s="3" t="s">
        <v>9</v>
      </c>
      <c r="B6" s="9">
        <v>94555</v>
      </c>
      <c r="C6" s="9">
        <v>81566</v>
      </c>
      <c r="D6" s="9">
        <v>85267</v>
      </c>
    </row>
    <row r="7" spans="1:8" x14ac:dyDescent="0.3">
      <c r="A7" s="3" t="s">
        <v>10</v>
      </c>
      <c r="B7" s="9">
        <v>93108</v>
      </c>
      <c r="C7" s="9">
        <v>46887</v>
      </c>
      <c r="D7" s="9">
        <v>87124</v>
      </c>
    </row>
    <row r="8" spans="1:8" x14ac:dyDescent="0.3">
      <c r="A8" s="3" t="s">
        <v>12</v>
      </c>
      <c r="B8" s="9">
        <v>86751</v>
      </c>
      <c r="C8" s="9">
        <v>88236</v>
      </c>
      <c r="D8" s="9">
        <v>59143</v>
      </c>
    </row>
    <row r="9" spans="1:8" x14ac:dyDescent="0.3">
      <c r="A9" s="3" t="s">
        <v>13</v>
      </c>
      <c r="B9" s="9">
        <v>59563</v>
      </c>
      <c r="C9" s="9">
        <v>94884</v>
      </c>
      <c r="D9" s="9">
        <v>81385</v>
      </c>
    </row>
    <row r="10" spans="1:8" x14ac:dyDescent="0.3">
      <c r="A10" s="3" t="s">
        <v>14</v>
      </c>
      <c r="B10" s="9">
        <v>94460</v>
      </c>
      <c r="C10" s="9">
        <v>66173</v>
      </c>
      <c r="D10" s="9">
        <v>68115</v>
      </c>
    </row>
    <row r="11" spans="1:8" x14ac:dyDescent="0.3">
      <c r="A11" s="3" t="s">
        <v>16</v>
      </c>
      <c r="B11" s="9">
        <v>71844</v>
      </c>
      <c r="C11" s="9">
        <v>63802</v>
      </c>
      <c r="D11" s="9">
        <v>77645</v>
      </c>
    </row>
    <row r="12" spans="1:8" x14ac:dyDescent="0.3">
      <c r="A12" s="3" t="s">
        <v>17</v>
      </c>
      <c r="B12" s="9">
        <v>48183</v>
      </c>
      <c r="C12" s="9">
        <v>66274</v>
      </c>
      <c r="D12" s="9">
        <v>92773</v>
      </c>
    </row>
    <row r="13" spans="1:8" x14ac:dyDescent="0.3">
      <c r="A13" s="3" t="s">
        <v>18</v>
      </c>
      <c r="B13" s="9">
        <v>73102</v>
      </c>
      <c r="C13" s="9">
        <v>46026</v>
      </c>
      <c r="D13" s="9">
        <v>86300</v>
      </c>
    </row>
    <row r="14" spans="1:8" x14ac:dyDescent="0.3">
      <c r="A14" s="3" t="s">
        <v>19</v>
      </c>
      <c r="B14" s="9">
        <v>91727</v>
      </c>
      <c r="C14" s="9">
        <v>85000</v>
      </c>
      <c r="D14" s="9">
        <v>67301</v>
      </c>
    </row>
    <row r="15" spans="1:8" x14ac:dyDescent="0.3">
      <c r="A15" s="3" t="s">
        <v>20</v>
      </c>
      <c r="B15" s="9">
        <v>62099</v>
      </c>
      <c r="C15" s="9">
        <v>88834</v>
      </c>
      <c r="D15" s="9">
        <v>88322</v>
      </c>
    </row>
    <row r="16" spans="1:8" x14ac:dyDescent="0.3">
      <c r="A16" s="3" t="s">
        <v>21</v>
      </c>
      <c r="B16" s="9">
        <v>91505</v>
      </c>
      <c r="C16" s="9">
        <v>78621</v>
      </c>
      <c r="D16" s="9">
        <v>86258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</vt:lpstr>
      <vt:lpstr>HLookup</vt:lpstr>
      <vt:lpstr>Xlookup-BASIC</vt:lpstr>
      <vt:lpstr>Xlookup-REV</vt:lpstr>
      <vt:lpstr>Xlookup-ERR</vt:lpstr>
      <vt:lpstr>Xlookup-MUL VAL</vt:lpstr>
      <vt:lpstr>Xlookup-Comm per</vt:lpstr>
      <vt:lpstr>DOUBLE 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p s</dc:creator>
  <cp:lastModifiedBy>Dell</cp:lastModifiedBy>
  <dcterms:created xsi:type="dcterms:W3CDTF">2023-11-23T06:11:53Z</dcterms:created>
  <dcterms:modified xsi:type="dcterms:W3CDTF">2026-07-01T07:04:52Z</dcterms:modified>
</cp:coreProperties>
</file>