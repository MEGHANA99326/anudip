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mc:AlternateContent xmlns:mc="http://schemas.openxmlformats.org/markup-compatibility/2006">
    <mc:Choice Requires="x15">
      <x15ac:absPath xmlns:x15ac="http://schemas.microsoft.com/office/spreadsheetml/2010/11/ac" url="https://d.docs.live.net/cfb3f5cb249da354/Documents/"/>
    </mc:Choice>
  </mc:AlternateContent>
  <xr:revisionPtr revIDLastSave="0" documentId="8_{F141F356-ED76-454C-9300-DCEA0CC87A7C}" xr6:coauthVersionLast="45" xr6:coauthVersionMax="45" xr10:uidLastSave="{00000000-0000-0000-0000-000000000000}"/>
  <bookViews>
    <workbookView xWindow="-108" yWindow="-108" windowWidth="23256" windowHeight="12456" activeTab="2" xr2:uid="{78BF963C-6579-4EF5-B67C-0AA3C763BDD9}"/>
  </bookViews>
  <sheets>
    <sheet name="MASTERDATA" sheetId="1" r:id="rId1"/>
    <sheet name="PIVOT TABLE" sheetId="2" r:id="rId2"/>
    <sheet name="DASHBOARD" sheetId="3" r:id="rId3"/>
    <sheet name="PRODUCTS" sheetId="5" r:id="rId4"/>
    <sheet name="SALESMANS" sheetId="6" r:id="rId5"/>
    <sheet name="ABOUT" sheetId="7" r:id="rId6"/>
  </sheets>
  <definedNames>
    <definedName name="NativeTimeline_Date">#N/A</definedName>
    <definedName name="Slicer_Place">#N/A</definedName>
    <definedName name="Slicer_Product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ARRAYTEXT_WF"/>
        <xcalcf:feature name="microsoft.com:LAMBDA_WF"/>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79" i="1" l="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<sst xmlns="http://schemas.openxmlformats.org/spreadsheetml/2006/main" count="934" uniqueCount="32">
  <si>
    <t>Date</t>
  </si>
  <si>
    <t>Sales Persons</t>
  </si>
  <si>
    <t>Products</t>
  </si>
  <si>
    <t>Place</t>
  </si>
  <si>
    <t>Price</t>
  </si>
  <si>
    <t>Units</t>
  </si>
  <si>
    <t>Amount</t>
  </si>
  <si>
    <t>Ramesh</t>
  </si>
  <si>
    <t>Furniture</t>
  </si>
  <si>
    <t>Guntur</t>
  </si>
  <si>
    <t>Kiran</t>
  </si>
  <si>
    <t>Vijayawada</t>
  </si>
  <si>
    <t>Gopi</t>
  </si>
  <si>
    <t>LED TV's</t>
  </si>
  <si>
    <t>Bapatla</t>
  </si>
  <si>
    <t>Mahesh</t>
  </si>
  <si>
    <t>4K LED TV's</t>
  </si>
  <si>
    <t>Mobiles</t>
  </si>
  <si>
    <t>Tenali</t>
  </si>
  <si>
    <t>Ganesh</t>
  </si>
  <si>
    <t>Laptops</t>
  </si>
  <si>
    <t>Chirala</t>
  </si>
  <si>
    <t>Speakers</t>
  </si>
  <si>
    <t>Prathap</t>
  </si>
  <si>
    <t>Ongole</t>
  </si>
  <si>
    <t>Row Labels</t>
  </si>
  <si>
    <t>Grand Total</t>
  </si>
  <si>
    <t>Jan</t>
  </si>
  <si>
    <t>Feb</t>
  </si>
  <si>
    <t>Sum of Amount</t>
  </si>
  <si>
    <t>Sum of Units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</si>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</sst>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4"/>
      <color rgb="FFFF0000"/>
      <name val="Aptos Narrow"/>
      <family val="2"/>
      <scheme val="minor"/>
    </font>
    <font>
      <b/>
      <sz val="12"/>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4" tint="0.3999755851924192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xf>
    <xf numFmtId="0" fontId="1" fillId="2" borderId="1" xfId="0" applyFont="1" applyFill="1" applyBorder="1"/>
    <xf numFmtId="14" fontId="2" fillId="3" borderId="1" xfId="0" applyNumberFormat="1" applyFont="1" applyFill="1" applyBorder="1" applyAlignment="1">
      <alignment horizontal="left"/>
    </xf>
    <xf numFmtId="0" fontId="2" fillId="3" borderId="1" xfId="0" applyFont="1" applyFill="1" applyBorder="1"/>
    <xf numFmtId="3" fontId="2" fillId="3" borderId="1" xfId="0" applyNumberFormat="1" applyFont="1" applyFill="1" applyBorder="1"/>
    <xf numFmtId="14" fontId="2" fillId="0" borderId="1" xfId="0" applyNumberFormat="1" applyFont="1" applyBorder="1" applyAlignment="1">
      <alignment horizontal="left"/>
    </xf>
    <xf numFmtId="0" fontId="2" fillId="0" borderId="1" xfId="0" applyFont="1" applyBorder="1"/>
    <xf numFmtId="3" fontId="2" fillId="0" borderId="1" xfId="0" applyNumberFormat="1" applyFont="1" applyBorder="1"/>
    <xf numFmtId="14" fontId="2" fillId="0" borderId="2" xfId="0" applyNumberFormat="1" applyFont="1" applyBorder="1" applyAlignment="1">
      <alignment horizontal="left"/>
    </xf>
    <xf numFmtId="0" fontId="2" fillId="0" borderId="2" xfId="0" applyFont="1" applyBorder="1"/>
    <xf numFmtId="3" fontId="2" fillId="0" borderId="2" xfId="0" applyNumberFormat="1" applyFont="1" applyBorder="1"/>
    <xf numFmtId="0" fontId="0" fillId="0" borderId="0" xfId="0" pivotButton="1"/>
    <xf numFmtId="0" fontId="0" fillId="0" borderId="0" xfId="0" applyAlignment="1">
      <alignment horizontal="left"/>
    </xf>
    <xf numFmtId="3"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TABLE'!$A$2:$A$4</c:f>
              <c:strCache>
                <c:ptCount val="2"/>
                <c:pt idx="0">
                  <c:v>Jan</c:v>
                </c:pt>
                <c:pt idx="1">
                  <c:v>Feb</c:v>
                </c:pt>
              </c:strCache>
            </c:strRef>
          </c:cat>
          <c:val>
            <c:numRef>
              <c:f>'PIVOT TABLE'!$B$2:$B$4</c:f>
              <c:numCache>
                <c:formatCode>#,##0</c:formatCode>
                <c:ptCount val="2"/>
                <c:pt idx="0">
                  <c:v>9022917</c:v>
                </c:pt>
                <c:pt idx="1">
                  <c:v>238469</c:v>
                </c:pt>
              </c:numCache>
            </c:numRef>
          </c:val>
          <c:extLst>
            <c:ext xmlns:c16="http://schemas.microsoft.com/office/drawing/2014/chart" uri="{C3380CC4-5D6E-409C-BE32-E72D297353CC}">
              <c16:uniqueId val="{00000000-7631-4865-8C5D-AC96775C9388}"/>
            </c:ext>
          </c:extLst>
        </c:ser>
        <c:dLbls>
          <c:showLegendKey val="0"/>
          <c:showVal val="0"/>
          <c:showCatName val="0"/>
          <c:showSerName val="0"/>
          <c:showPercent val="0"/>
          <c:showBubbleSize val="0"/>
        </c:dLbls>
        <c:gapWidth val="219"/>
        <c:overlap val="-27"/>
        <c:axId val="161177008"/>
        <c:axId val="1948560"/>
      </c:barChart>
      <c:catAx>
        <c:axId val="16117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560"/>
        <c:crosses val="autoZero"/>
        <c:auto val="1"/>
        <c:lblAlgn val="ctr"/>
        <c:lblOffset val="100"/>
        <c:noMultiLvlLbl val="0"/>
      </c:catAx>
      <c:valAx>
        <c:axId val="1948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7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TABLE!PivotTable1</c:name>
    <c:fmtId val="3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cat>
            <c:strRef>
              <c:f>'PIVOT TABLE'!$A$2:$A$4</c:f>
              <c:strCache>
                <c:ptCount val="2"/>
                <c:pt idx="0">
                  <c:v>Jan</c:v>
                </c:pt>
                <c:pt idx="1">
                  <c:v>Feb</c:v>
                </c:pt>
              </c:strCache>
            </c:strRef>
          </c:cat>
          <c:val>
            <c:numRef>
              <c:f>'PIVOT TABLE'!$B$2:$B$4</c:f>
              <c:numCache>
                <c:formatCode>#,##0</c:formatCode>
                <c:ptCount val="2"/>
                <c:pt idx="0">
                  <c:v>9022917</c:v>
                </c:pt>
                <c:pt idx="1">
                  <c:v>238469</c:v>
                </c:pt>
              </c:numCache>
            </c:numRef>
          </c:val>
          <c:smooth val="0"/>
          <c:extLst>
            <c:ext xmlns:c16="http://schemas.microsoft.com/office/drawing/2014/chart" uri="{C3380CC4-5D6E-409C-BE32-E72D297353CC}">
              <c16:uniqueId val="{00000000-D5DA-498B-A6FA-B83975F32CBE}"/>
            </c:ext>
          </c:extLst>
        </c:ser>
        <c:dLbls>
          <c:showLegendKey val="0"/>
          <c:showVal val="0"/>
          <c:showCatName val="0"/>
          <c:showSerName val="0"/>
          <c:showPercent val="0"/>
          <c:showBubbleSize val="0"/>
        </c:dLbls>
        <c:smooth val="0"/>
        <c:axId val="10800432"/>
        <c:axId val="2045558159"/>
      </c:lineChart>
      <c:catAx>
        <c:axId val="1080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58159"/>
        <c:crosses val="autoZero"/>
        <c:auto val="1"/>
        <c:lblAlgn val="ctr"/>
        <c:lblOffset val="100"/>
        <c:noMultiLvlLbl val="0"/>
      </c:catAx>
      <c:valAx>
        <c:axId val="20455581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TABLE!PivotTable3</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TABLE'!$J$3:$J$9</c:f>
              <c:strCache>
                <c:ptCount val="6"/>
                <c:pt idx="0">
                  <c:v>4K LED TV's</c:v>
                </c:pt>
                <c:pt idx="1">
                  <c:v>Furniture</c:v>
                </c:pt>
                <c:pt idx="2">
                  <c:v>Laptops</c:v>
                </c:pt>
                <c:pt idx="3">
                  <c:v>LED TV's</c:v>
                </c:pt>
                <c:pt idx="4">
                  <c:v>Mobiles</c:v>
                </c:pt>
                <c:pt idx="5">
                  <c:v>Speakers</c:v>
                </c:pt>
              </c:strCache>
            </c:strRef>
          </c:cat>
          <c:val>
            <c:numRef>
              <c:f>'PIVOT TABLE'!$K$3:$K$9</c:f>
              <c:numCache>
                <c:formatCode>General</c:formatCode>
                <c:ptCount val="6"/>
                <c:pt idx="0">
                  <c:v>89</c:v>
                </c:pt>
                <c:pt idx="1">
                  <c:v>172</c:v>
                </c:pt>
                <c:pt idx="2">
                  <c:v>26</c:v>
                </c:pt>
                <c:pt idx="3">
                  <c:v>44</c:v>
                </c:pt>
                <c:pt idx="4">
                  <c:v>11</c:v>
                </c:pt>
                <c:pt idx="5">
                  <c:v>9</c:v>
                </c:pt>
              </c:numCache>
            </c:numRef>
          </c:val>
          <c:extLst>
            <c:ext xmlns:c16="http://schemas.microsoft.com/office/drawing/2014/chart" uri="{C3380CC4-5D6E-409C-BE32-E72D297353CC}">
              <c16:uniqueId val="{00000000-BB90-44DD-B1BD-2615855FE21F}"/>
            </c:ext>
          </c:extLst>
        </c:ser>
        <c:dLbls>
          <c:showLegendKey val="0"/>
          <c:showVal val="0"/>
          <c:showCatName val="0"/>
          <c:showSerName val="0"/>
          <c:showPercent val="0"/>
          <c:showBubbleSize val="0"/>
        </c:dLbls>
        <c:gapWidth val="182"/>
        <c:axId val="10760992"/>
        <c:axId val="2045569199"/>
      </c:barChart>
      <c:catAx>
        <c:axId val="1076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69199"/>
        <c:crosses val="autoZero"/>
        <c:auto val="1"/>
        <c:lblAlgn val="ctr"/>
        <c:lblOffset val="100"/>
        <c:noMultiLvlLbl val="0"/>
      </c:catAx>
      <c:valAx>
        <c:axId val="2045569199"/>
        <c:scaling>
          <c:orientation val="minMax"/>
        </c:scaling>
        <c:delete val="1"/>
        <c:axPos val="b"/>
        <c:numFmt formatCode="General" sourceLinked="1"/>
        <c:majorTickMark val="none"/>
        <c:minorTickMark val="none"/>
        <c:tickLblPos val="nextTo"/>
        <c:crossAx val="1076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TABLE!PivotTable4</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TABLE'!$J$13:$J$18</c:f>
              <c:strCache>
                <c:ptCount val="5"/>
                <c:pt idx="0">
                  <c:v>Bapatla</c:v>
                </c:pt>
                <c:pt idx="1">
                  <c:v>Chirala</c:v>
                </c:pt>
                <c:pt idx="2">
                  <c:v>Guntur</c:v>
                </c:pt>
                <c:pt idx="3">
                  <c:v>Tenali</c:v>
                </c:pt>
                <c:pt idx="4">
                  <c:v>Vijayawada</c:v>
                </c:pt>
              </c:strCache>
            </c:strRef>
          </c:cat>
          <c:val>
            <c:numRef>
              <c:f>'PIVOT TABLE'!$K$13:$K$18</c:f>
              <c:numCache>
                <c:formatCode>#,##0</c:formatCode>
                <c:ptCount val="5"/>
                <c:pt idx="0">
                  <c:v>921800</c:v>
                </c:pt>
                <c:pt idx="1">
                  <c:v>3354000</c:v>
                </c:pt>
                <c:pt idx="2">
                  <c:v>4504509</c:v>
                </c:pt>
                <c:pt idx="3">
                  <c:v>296310</c:v>
                </c:pt>
                <c:pt idx="4">
                  <c:v>184767</c:v>
                </c:pt>
              </c:numCache>
            </c:numRef>
          </c:val>
          <c:extLst>
            <c:ext xmlns:c16="http://schemas.microsoft.com/office/drawing/2014/chart" uri="{C3380CC4-5D6E-409C-BE32-E72D297353CC}">
              <c16:uniqueId val="{00000000-71B9-4DAF-901F-65AE3145162A}"/>
            </c:ext>
          </c:extLst>
        </c:ser>
        <c:dLbls>
          <c:showLegendKey val="0"/>
          <c:showVal val="0"/>
          <c:showCatName val="0"/>
          <c:showSerName val="0"/>
          <c:showPercent val="0"/>
          <c:showBubbleSize val="0"/>
        </c:dLbls>
        <c:gapWidth val="219"/>
        <c:overlap val="-27"/>
        <c:axId val="1637243727"/>
        <c:axId val="25810512"/>
      </c:barChart>
      <c:catAx>
        <c:axId val="163724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10512"/>
        <c:crosses val="autoZero"/>
        <c:auto val="1"/>
        <c:lblAlgn val="ctr"/>
        <c:lblOffset val="100"/>
        <c:noMultiLvlLbl val="0"/>
      </c:catAx>
      <c:valAx>
        <c:axId val="25810512"/>
        <c:scaling>
          <c:orientation val="minMax"/>
        </c:scaling>
        <c:delete val="1"/>
        <c:axPos val="l"/>
        <c:numFmt formatCode="#,##0" sourceLinked="1"/>
        <c:majorTickMark val="none"/>
        <c:minorTickMark val="none"/>
        <c:tickLblPos val="nextTo"/>
        <c:crossAx val="1637243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TABLE!PivotTable7</c:name>
    <c:fmtId val="6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TABLE'!$B$90</c:f>
              <c:strCache>
                <c:ptCount val="1"/>
                <c:pt idx="0">
                  <c:v>Total</c:v>
                </c:pt>
              </c:strCache>
            </c:strRef>
          </c:tx>
          <c:spPr>
            <a:solidFill>
              <a:schemeClr val="accent1"/>
            </a:solidFill>
            <a:ln>
              <a:noFill/>
            </a:ln>
            <a:effectLst/>
          </c:spPr>
          <c:invertIfNegative val="0"/>
          <c:cat>
            <c:strRef>
              <c:f>'PIVOT TABLE'!$A$91:$A$97</c:f>
              <c:strCache>
                <c:ptCount val="6"/>
                <c:pt idx="0">
                  <c:v>4K LED TV's</c:v>
                </c:pt>
                <c:pt idx="1">
                  <c:v>Furniture</c:v>
                </c:pt>
                <c:pt idx="2">
                  <c:v>Laptops</c:v>
                </c:pt>
                <c:pt idx="3">
                  <c:v>LED TV's</c:v>
                </c:pt>
                <c:pt idx="4">
                  <c:v>Mobiles</c:v>
                </c:pt>
                <c:pt idx="5">
                  <c:v>Speakers</c:v>
                </c:pt>
              </c:strCache>
            </c:strRef>
          </c:cat>
          <c:val>
            <c:numRef>
              <c:f>'PIVOT TABLE'!$B$91:$B$97</c:f>
              <c:numCache>
                <c:formatCode>General</c:formatCode>
                <c:ptCount val="6"/>
                <c:pt idx="0">
                  <c:v>89</c:v>
                </c:pt>
                <c:pt idx="1">
                  <c:v>172</c:v>
                </c:pt>
                <c:pt idx="2">
                  <c:v>26</c:v>
                </c:pt>
                <c:pt idx="3">
                  <c:v>44</c:v>
                </c:pt>
                <c:pt idx="4">
                  <c:v>11</c:v>
                </c:pt>
                <c:pt idx="5">
                  <c:v>9</c:v>
                </c:pt>
              </c:numCache>
            </c:numRef>
          </c:val>
          <c:extLst>
            <c:ext xmlns:c16="http://schemas.microsoft.com/office/drawing/2014/chart" uri="{C3380CC4-5D6E-409C-BE32-E72D297353CC}">
              <c16:uniqueId val="{00000000-6591-4024-97CC-BD90B7DDD35B}"/>
            </c:ext>
          </c:extLst>
        </c:ser>
        <c:dLbls>
          <c:showLegendKey val="0"/>
          <c:showVal val="0"/>
          <c:showCatName val="0"/>
          <c:showSerName val="0"/>
          <c:showPercent val="0"/>
          <c:showBubbleSize val="0"/>
        </c:dLbls>
        <c:gapWidth val="182"/>
        <c:axId val="1879011584"/>
        <c:axId val="1684962640"/>
      </c:barChart>
      <c:catAx>
        <c:axId val="1879011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962640"/>
        <c:crosses val="autoZero"/>
        <c:auto val="1"/>
        <c:lblAlgn val="ctr"/>
        <c:lblOffset val="100"/>
        <c:noMultiLvlLbl val="0"/>
      </c:catAx>
      <c:valAx>
        <c:axId val="1684962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01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TABLE!PivotTable9</c:name>
    <c:fmtId val="6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TABLE'!$A$104:$A$107</c:f>
              <c:strCache>
                <c:ptCount val="3"/>
                <c:pt idx="0">
                  <c:v>Mahesh</c:v>
                </c:pt>
                <c:pt idx="1">
                  <c:v>Kiran</c:v>
                </c:pt>
                <c:pt idx="2">
                  <c:v>Ramesh</c:v>
                </c:pt>
              </c:strCache>
            </c:strRef>
          </c:cat>
          <c:val>
            <c:numRef>
              <c:f>'PIVOT TABLE'!$B$104:$B$107</c:f>
              <c:numCache>
                <c:formatCode>General</c:formatCode>
                <c:ptCount val="3"/>
                <c:pt idx="0">
                  <c:v>61</c:v>
                </c:pt>
                <c:pt idx="1">
                  <c:v>81</c:v>
                </c:pt>
                <c:pt idx="2">
                  <c:v>130</c:v>
                </c:pt>
              </c:numCache>
            </c:numRef>
          </c:val>
          <c:extLst>
            <c:ext xmlns:c16="http://schemas.microsoft.com/office/drawing/2014/chart" uri="{C3380CC4-5D6E-409C-BE32-E72D297353CC}">
              <c16:uniqueId val="{00000000-2088-4D56-A200-960929C0C82D}"/>
            </c:ext>
          </c:extLst>
        </c:ser>
        <c:dLbls>
          <c:showLegendKey val="0"/>
          <c:showVal val="0"/>
          <c:showCatName val="0"/>
          <c:showSerName val="0"/>
          <c:showPercent val="0"/>
          <c:showBubbleSize val="0"/>
        </c:dLbls>
        <c:gapWidth val="182"/>
        <c:axId val="1678054352"/>
        <c:axId val="1871369552"/>
      </c:barChart>
      <c:catAx>
        <c:axId val="1678054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369552"/>
        <c:crosses val="autoZero"/>
        <c:auto val="1"/>
        <c:lblAlgn val="ctr"/>
        <c:lblOffset val="100"/>
        <c:noMultiLvlLbl val="0"/>
      </c:catAx>
      <c:valAx>
        <c:axId val="1871369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05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TABLE!PivotTable10</c:name>
    <c:fmtId val="6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TABLE'!$A$113:$A$116</c:f>
              <c:strCache>
                <c:ptCount val="3"/>
                <c:pt idx="0">
                  <c:v>Ganesh</c:v>
                </c:pt>
                <c:pt idx="1">
                  <c:v>Gopi</c:v>
                </c:pt>
                <c:pt idx="2">
                  <c:v>Mahesh</c:v>
                </c:pt>
              </c:strCache>
            </c:strRef>
          </c:cat>
          <c:val>
            <c:numRef>
              <c:f>'PIVOT TABLE'!$B$113:$B$116</c:f>
              <c:numCache>
                <c:formatCode>General</c:formatCode>
                <c:ptCount val="3"/>
                <c:pt idx="0">
                  <c:v>26</c:v>
                </c:pt>
                <c:pt idx="1">
                  <c:v>53</c:v>
                </c:pt>
                <c:pt idx="2">
                  <c:v>61</c:v>
                </c:pt>
              </c:numCache>
            </c:numRef>
          </c:val>
          <c:extLst>
            <c:ext xmlns:c16="http://schemas.microsoft.com/office/drawing/2014/chart" uri="{C3380CC4-5D6E-409C-BE32-E72D297353CC}">
              <c16:uniqueId val="{00000000-E3C3-4901-8AF9-98B6AC9FB819}"/>
            </c:ext>
          </c:extLst>
        </c:ser>
        <c:dLbls>
          <c:showLegendKey val="0"/>
          <c:showVal val="0"/>
          <c:showCatName val="0"/>
          <c:showSerName val="0"/>
          <c:showPercent val="0"/>
          <c:showBubbleSize val="0"/>
        </c:dLbls>
        <c:gapWidth val="182"/>
        <c:axId val="1678033008"/>
        <c:axId val="1791364816"/>
      </c:barChart>
      <c:catAx>
        <c:axId val="167803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364816"/>
        <c:crosses val="autoZero"/>
        <c:auto val="1"/>
        <c:lblAlgn val="ctr"/>
        <c:lblOffset val="100"/>
        <c:noMultiLvlLbl val="0"/>
      </c:catAx>
      <c:valAx>
        <c:axId val="179136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03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TABLE!PivotTable11</c:name>
    <c:fmtId val="7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TABLE'!$B$129</c:f>
              <c:strCache>
                <c:ptCount val="1"/>
                <c:pt idx="0">
                  <c:v>Total</c:v>
                </c:pt>
              </c:strCache>
            </c:strRef>
          </c:tx>
          <c:spPr>
            <a:solidFill>
              <a:schemeClr val="accent1"/>
            </a:solidFill>
            <a:ln>
              <a:noFill/>
            </a:ln>
            <a:effectLst/>
          </c:spPr>
          <c:invertIfNegative val="0"/>
          <c:cat>
            <c:strRef>
              <c:f>'PIVOT TABLE'!$A$130:$A$135</c:f>
              <c:strCache>
                <c:ptCount val="5"/>
                <c:pt idx="0">
                  <c:v>Ganesh</c:v>
                </c:pt>
                <c:pt idx="1">
                  <c:v>Gopi</c:v>
                </c:pt>
                <c:pt idx="2">
                  <c:v>Kiran</c:v>
                </c:pt>
                <c:pt idx="3">
                  <c:v>Mahesh</c:v>
                </c:pt>
                <c:pt idx="4">
                  <c:v>Ramesh</c:v>
                </c:pt>
              </c:strCache>
            </c:strRef>
          </c:cat>
          <c:val>
            <c:numRef>
              <c:f>'PIVOT TABLE'!$B$130:$B$135</c:f>
              <c:numCache>
                <c:formatCode>General</c:formatCode>
                <c:ptCount val="5"/>
                <c:pt idx="0">
                  <c:v>26</c:v>
                </c:pt>
                <c:pt idx="1">
                  <c:v>53</c:v>
                </c:pt>
                <c:pt idx="2">
                  <c:v>81</c:v>
                </c:pt>
                <c:pt idx="3">
                  <c:v>61</c:v>
                </c:pt>
                <c:pt idx="4">
                  <c:v>130</c:v>
                </c:pt>
              </c:numCache>
            </c:numRef>
          </c:val>
          <c:extLst>
            <c:ext xmlns:c16="http://schemas.microsoft.com/office/drawing/2014/chart" uri="{C3380CC4-5D6E-409C-BE32-E72D297353CC}">
              <c16:uniqueId val="{00000000-9696-440A-BC70-69C18291A9A7}"/>
            </c:ext>
          </c:extLst>
        </c:ser>
        <c:dLbls>
          <c:showLegendKey val="0"/>
          <c:showVal val="0"/>
          <c:showCatName val="0"/>
          <c:showSerName val="0"/>
          <c:showPercent val="0"/>
          <c:showBubbleSize val="0"/>
        </c:dLbls>
        <c:gapWidth val="219"/>
        <c:overlap val="-27"/>
        <c:axId val="1785804720"/>
        <c:axId val="1791356176"/>
      </c:barChart>
      <c:catAx>
        <c:axId val="178580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356176"/>
        <c:crosses val="autoZero"/>
        <c:auto val="1"/>
        <c:lblAlgn val="ctr"/>
        <c:lblOffset val="100"/>
        <c:noMultiLvlLbl val="0"/>
      </c:catAx>
      <c:valAx>
        <c:axId val="1791356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804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TABLE!PivotTable12</c:name>
    <c:fmtId val="7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TABLE'!$B$144</c:f>
              <c:strCache>
                <c:ptCount val="1"/>
                <c:pt idx="0">
                  <c:v>Total</c:v>
                </c:pt>
              </c:strCache>
            </c:strRef>
          </c:tx>
          <c:spPr>
            <a:solidFill>
              <a:schemeClr val="accent1"/>
            </a:solidFill>
            <a:ln>
              <a:noFill/>
            </a:ln>
            <a:effectLst/>
          </c:spPr>
          <c:invertIfNegative val="0"/>
          <c:cat>
            <c:strRef>
              <c:f>'PIVOT TABLE'!$A$145:$A$148</c:f>
              <c:strCache>
                <c:ptCount val="3"/>
                <c:pt idx="0">
                  <c:v>4K LED TV's</c:v>
                </c:pt>
                <c:pt idx="1">
                  <c:v>Furniture</c:v>
                </c:pt>
                <c:pt idx="2">
                  <c:v>LED TV's</c:v>
                </c:pt>
              </c:strCache>
            </c:strRef>
          </c:cat>
          <c:val>
            <c:numRef>
              <c:f>'PIVOT TABLE'!$B$145:$B$148</c:f>
              <c:numCache>
                <c:formatCode>General</c:formatCode>
                <c:ptCount val="3"/>
                <c:pt idx="0">
                  <c:v>89</c:v>
                </c:pt>
                <c:pt idx="1">
                  <c:v>172</c:v>
                </c:pt>
                <c:pt idx="2">
                  <c:v>44</c:v>
                </c:pt>
              </c:numCache>
            </c:numRef>
          </c:val>
          <c:extLst>
            <c:ext xmlns:c16="http://schemas.microsoft.com/office/drawing/2014/chart" uri="{C3380CC4-5D6E-409C-BE32-E72D297353CC}">
              <c16:uniqueId val="{00000000-4C30-43EF-B741-E01EA1363404}"/>
            </c:ext>
          </c:extLst>
        </c:ser>
        <c:dLbls>
          <c:showLegendKey val="0"/>
          <c:showVal val="0"/>
          <c:showCatName val="0"/>
          <c:showSerName val="0"/>
          <c:showPercent val="0"/>
          <c:showBubbleSize val="0"/>
        </c:dLbls>
        <c:gapWidth val="182"/>
        <c:axId val="1785644496"/>
        <c:axId val="1791360976"/>
      </c:barChart>
      <c:catAx>
        <c:axId val="178564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360976"/>
        <c:crosses val="autoZero"/>
        <c:auto val="1"/>
        <c:lblAlgn val="ctr"/>
        <c:lblOffset val="100"/>
        <c:noMultiLvlLbl val="0"/>
      </c:catAx>
      <c:valAx>
        <c:axId val="1791360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44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TABLE!PivotTable13</c:name>
    <c:fmtId val="8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TABLE'!$B$151</c:f>
              <c:strCache>
                <c:ptCount val="1"/>
                <c:pt idx="0">
                  <c:v>Total</c:v>
                </c:pt>
              </c:strCache>
            </c:strRef>
          </c:tx>
          <c:spPr>
            <a:solidFill>
              <a:schemeClr val="accent1"/>
            </a:solidFill>
            <a:ln>
              <a:noFill/>
            </a:ln>
            <a:effectLst/>
          </c:spPr>
          <c:invertIfNegative val="0"/>
          <c:cat>
            <c:strRef>
              <c:f>'PIVOT TABLE'!$A$152:$A$155</c:f>
              <c:strCache>
                <c:ptCount val="3"/>
                <c:pt idx="0">
                  <c:v>Laptops</c:v>
                </c:pt>
                <c:pt idx="1">
                  <c:v>Mobiles</c:v>
                </c:pt>
                <c:pt idx="2">
                  <c:v>Speakers</c:v>
                </c:pt>
              </c:strCache>
            </c:strRef>
          </c:cat>
          <c:val>
            <c:numRef>
              <c:f>'PIVOT TABLE'!$B$152:$B$155</c:f>
              <c:numCache>
                <c:formatCode>General</c:formatCode>
                <c:ptCount val="3"/>
                <c:pt idx="0">
                  <c:v>26</c:v>
                </c:pt>
                <c:pt idx="1">
                  <c:v>11</c:v>
                </c:pt>
                <c:pt idx="2">
                  <c:v>9</c:v>
                </c:pt>
              </c:numCache>
            </c:numRef>
          </c:val>
          <c:extLst>
            <c:ext xmlns:c16="http://schemas.microsoft.com/office/drawing/2014/chart" uri="{C3380CC4-5D6E-409C-BE32-E72D297353CC}">
              <c16:uniqueId val="{00000000-7068-46C0-8167-E501D943DB5E}"/>
            </c:ext>
          </c:extLst>
        </c:ser>
        <c:dLbls>
          <c:showLegendKey val="0"/>
          <c:showVal val="0"/>
          <c:showCatName val="0"/>
          <c:showSerName val="0"/>
          <c:showPercent val="0"/>
          <c:showBubbleSize val="0"/>
        </c:dLbls>
        <c:gapWidth val="182"/>
        <c:axId val="1797791616"/>
        <c:axId val="1791364336"/>
      </c:barChart>
      <c:catAx>
        <c:axId val="179779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364336"/>
        <c:crosses val="autoZero"/>
        <c:auto val="1"/>
        <c:lblAlgn val="ctr"/>
        <c:lblOffset val="100"/>
        <c:noMultiLvlLbl val="0"/>
      </c:catAx>
      <c:valAx>
        <c:axId val="1791364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79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TABLE!PivotTable14</c:name>
    <c:fmtId val="8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TABLE'!$A$159:$A$165</c:f>
              <c:strCache>
                <c:ptCount val="6"/>
                <c:pt idx="0">
                  <c:v>4K LED TV's</c:v>
                </c:pt>
                <c:pt idx="1">
                  <c:v>Furniture</c:v>
                </c:pt>
                <c:pt idx="2">
                  <c:v>Laptops</c:v>
                </c:pt>
                <c:pt idx="3">
                  <c:v>LED TV's</c:v>
                </c:pt>
                <c:pt idx="4">
                  <c:v>Mobiles</c:v>
                </c:pt>
                <c:pt idx="5">
                  <c:v>Speakers</c:v>
                </c:pt>
              </c:strCache>
            </c:strRef>
          </c:cat>
          <c:val>
            <c:numRef>
              <c:f>'PIVOT TABLE'!$B$159:$B$165</c:f>
              <c:numCache>
                <c:formatCode>General</c:formatCode>
                <c:ptCount val="6"/>
                <c:pt idx="0">
                  <c:v>89</c:v>
                </c:pt>
                <c:pt idx="1">
                  <c:v>172</c:v>
                </c:pt>
                <c:pt idx="2">
                  <c:v>26</c:v>
                </c:pt>
                <c:pt idx="3">
                  <c:v>44</c:v>
                </c:pt>
                <c:pt idx="4">
                  <c:v>11</c:v>
                </c:pt>
                <c:pt idx="5">
                  <c:v>9</c:v>
                </c:pt>
              </c:numCache>
            </c:numRef>
          </c:val>
          <c:extLst>
            <c:ext xmlns:c16="http://schemas.microsoft.com/office/drawing/2014/chart" uri="{C3380CC4-5D6E-409C-BE32-E72D297353CC}">
              <c16:uniqueId val="{00000000-D4E8-4C4C-994F-29212FB90378}"/>
            </c:ext>
          </c:extLst>
        </c:ser>
        <c:dLbls>
          <c:showLegendKey val="0"/>
          <c:showVal val="0"/>
          <c:showCatName val="0"/>
          <c:showSerName val="0"/>
          <c:showPercent val="0"/>
          <c:showBubbleSize val="0"/>
        </c:dLbls>
        <c:gapWidth val="219"/>
        <c:overlap val="-27"/>
        <c:axId val="1797756352"/>
        <c:axId val="1791360016"/>
      </c:barChart>
      <c:catAx>
        <c:axId val="179775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360016"/>
        <c:crosses val="autoZero"/>
        <c:auto val="1"/>
        <c:lblAlgn val="ctr"/>
        <c:lblOffset val="100"/>
        <c:noMultiLvlLbl val="0"/>
      </c:catAx>
      <c:valAx>
        <c:axId val="179136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756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TABLE!PivotTable1</c:name>
    <c:fmtId val="4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cat>
            <c:strRef>
              <c:f>'PIVOT TABLE'!$A$2:$A$4</c:f>
              <c:strCache>
                <c:ptCount val="2"/>
                <c:pt idx="0">
                  <c:v>Jan</c:v>
                </c:pt>
                <c:pt idx="1">
                  <c:v>Feb</c:v>
                </c:pt>
              </c:strCache>
            </c:strRef>
          </c:cat>
          <c:val>
            <c:numRef>
              <c:f>'PIVOT TABLE'!$B$2:$B$4</c:f>
              <c:numCache>
                <c:formatCode>#,##0</c:formatCode>
                <c:ptCount val="2"/>
                <c:pt idx="0">
                  <c:v>9022917</c:v>
                </c:pt>
                <c:pt idx="1">
                  <c:v>238469</c:v>
                </c:pt>
              </c:numCache>
            </c:numRef>
          </c:val>
          <c:smooth val="0"/>
          <c:extLst>
            <c:ext xmlns:c16="http://schemas.microsoft.com/office/drawing/2014/chart" uri="{C3380CC4-5D6E-409C-BE32-E72D297353CC}">
              <c16:uniqueId val="{00000004-87C1-4C47-B2E3-F17149538EAE}"/>
            </c:ext>
          </c:extLst>
        </c:ser>
        <c:dLbls>
          <c:showLegendKey val="0"/>
          <c:showVal val="0"/>
          <c:showCatName val="0"/>
          <c:showSerName val="0"/>
          <c:showPercent val="0"/>
          <c:showBubbleSize val="0"/>
        </c:dLbls>
        <c:smooth val="0"/>
        <c:axId val="10800432"/>
        <c:axId val="2045558159"/>
      </c:lineChart>
      <c:catAx>
        <c:axId val="1080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58159"/>
        <c:crosses val="autoZero"/>
        <c:auto val="1"/>
        <c:lblAlgn val="ctr"/>
        <c:lblOffset val="100"/>
        <c:noMultiLvlLbl val="0"/>
      </c:catAx>
      <c:valAx>
        <c:axId val="204555815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TABLE!PivotTable3</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TABLE'!$J$3:$J$9</c:f>
              <c:strCache>
                <c:ptCount val="6"/>
                <c:pt idx="0">
                  <c:v>4K LED TV's</c:v>
                </c:pt>
                <c:pt idx="1">
                  <c:v>Furniture</c:v>
                </c:pt>
                <c:pt idx="2">
                  <c:v>Laptops</c:v>
                </c:pt>
                <c:pt idx="3">
                  <c:v>LED TV's</c:v>
                </c:pt>
                <c:pt idx="4">
                  <c:v>Mobiles</c:v>
                </c:pt>
                <c:pt idx="5">
                  <c:v>Speakers</c:v>
                </c:pt>
              </c:strCache>
            </c:strRef>
          </c:cat>
          <c:val>
            <c:numRef>
              <c:f>'PIVOT TABLE'!$K$3:$K$9</c:f>
              <c:numCache>
                <c:formatCode>General</c:formatCode>
                <c:ptCount val="6"/>
                <c:pt idx="0">
                  <c:v>89</c:v>
                </c:pt>
                <c:pt idx="1">
                  <c:v>172</c:v>
                </c:pt>
                <c:pt idx="2">
                  <c:v>26</c:v>
                </c:pt>
                <c:pt idx="3">
                  <c:v>44</c:v>
                </c:pt>
                <c:pt idx="4">
                  <c:v>11</c:v>
                </c:pt>
                <c:pt idx="5">
                  <c:v>9</c:v>
                </c:pt>
              </c:numCache>
            </c:numRef>
          </c:val>
          <c:extLst>
            <c:ext xmlns:c16="http://schemas.microsoft.com/office/drawing/2014/chart" uri="{C3380CC4-5D6E-409C-BE32-E72D297353CC}">
              <c16:uniqueId val="{00000000-5E61-42A5-AE95-CDACD09A1C69}"/>
            </c:ext>
          </c:extLst>
        </c:ser>
        <c:dLbls>
          <c:showLegendKey val="0"/>
          <c:showVal val="0"/>
          <c:showCatName val="0"/>
          <c:showSerName val="0"/>
          <c:showPercent val="0"/>
          <c:showBubbleSize val="0"/>
        </c:dLbls>
        <c:gapWidth val="182"/>
        <c:axId val="10760992"/>
        <c:axId val="2045569199"/>
      </c:barChart>
      <c:catAx>
        <c:axId val="1076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69199"/>
        <c:crosses val="autoZero"/>
        <c:auto val="1"/>
        <c:lblAlgn val="ctr"/>
        <c:lblOffset val="100"/>
        <c:noMultiLvlLbl val="0"/>
      </c:catAx>
      <c:valAx>
        <c:axId val="2045569199"/>
        <c:scaling>
          <c:orientation val="minMax"/>
        </c:scaling>
        <c:delete val="1"/>
        <c:axPos val="b"/>
        <c:numFmt formatCode="General" sourceLinked="1"/>
        <c:majorTickMark val="none"/>
        <c:minorTickMark val="none"/>
        <c:tickLblPos val="nextTo"/>
        <c:crossAx val="1076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TABLE!PivotTable4</c:name>
    <c:fmtId val="6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TABLE'!$J$13:$J$18</c:f>
              <c:strCache>
                <c:ptCount val="5"/>
                <c:pt idx="0">
                  <c:v>Bapatla</c:v>
                </c:pt>
                <c:pt idx="1">
                  <c:v>Chirala</c:v>
                </c:pt>
                <c:pt idx="2">
                  <c:v>Guntur</c:v>
                </c:pt>
                <c:pt idx="3">
                  <c:v>Tenali</c:v>
                </c:pt>
                <c:pt idx="4">
                  <c:v>Vijayawada</c:v>
                </c:pt>
              </c:strCache>
            </c:strRef>
          </c:cat>
          <c:val>
            <c:numRef>
              <c:f>'PIVOT TABLE'!$K$13:$K$18</c:f>
              <c:numCache>
                <c:formatCode>#,##0</c:formatCode>
                <c:ptCount val="5"/>
                <c:pt idx="0">
                  <c:v>921800</c:v>
                </c:pt>
                <c:pt idx="1">
                  <c:v>3354000</c:v>
                </c:pt>
                <c:pt idx="2">
                  <c:v>4504509</c:v>
                </c:pt>
                <c:pt idx="3">
                  <c:v>296310</c:v>
                </c:pt>
                <c:pt idx="4">
                  <c:v>184767</c:v>
                </c:pt>
              </c:numCache>
            </c:numRef>
          </c:val>
          <c:extLst>
            <c:ext xmlns:c16="http://schemas.microsoft.com/office/drawing/2014/chart" uri="{C3380CC4-5D6E-409C-BE32-E72D297353CC}">
              <c16:uniqueId val="{00000000-23BA-471D-A07E-31229B251E5F}"/>
            </c:ext>
          </c:extLst>
        </c:ser>
        <c:dLbls>
          <c:showLegendKey val="0"/>
          <c:showVal val="0"/>
          <c:showCatName val="0"/>
          <c:showSerName val="0"/>
          <c:showPercent val="0"/>
          <c:showBubbleSize val="0"/>
        </c:dLbls>
        <c:gapWidth val="219"/>
        <c:overlap val="-27"/>
        <c:axId val="1637243727"/>
        <c:axId val="25810512"/>
      </c:barChart>
      <c:catAx>
        <c:axId val="163724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10512"/>
        <c:crosses val="autoZero"/>
        <c:auto val="1"/>
        <c:lblAlgn val="ctr"/>
        <c:lblOffset val="100"/>
        <c:noMultiLvlLbl val="0"/>
      </c:catAx>
      <c:valAx>
        <c:axId val="25810512"/>
        <c:scaling>
          <c:orientation val="minMax"/>
        </c:scaling>
        <c:delete val="1"/>
        <c:axPos val="l"/>
        <c:numFmt formatCode="#,##0" sourceLinked="1"/>
        <c:majorTickMark val="none"/>
        <c:minorTickMark val="none"/>
        <c:tickLblPos val="nextTo"/>
        <c:crossAx val="1637243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TABLE!PivotTable12</c:name>
    <c:fmtId val="7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TABLE'!$A$145:$A$148</c:f>
              <c:strCache>
                <c:ptCount val="3"/>
                <c:pt idx="0">
                  <c:v>4K LED TV's</c:v>
                </c:pt>
                <c:pt idx="1">
                  <c:v>Furniture</c:v>
                </c:pt>
                <c:pt idx="2">
                  <c:v>LED TV's</c:v>
                </c:pt>
              </c:strCache>
            </c:strRef>
          </c:cat>
          <c:val>
            <c:numRef>
              <c:f>'PIVOT TABLE'!$B$145:$B$148</c:f>
              <c:numCache>
                <c:formatCode>General</c:formatCode>
                <c:ptCount val="3"/>
                <c:pt idx="0">
                  <c:v>89</c:v>
                </c:pt>
                <c:pt idx="1">
                  <c:v>172</c:v>
                </c:pt>
                <c:pt idx="2">
                  <c:v>44</c:v>
                </c:pt>
              </c:numCache>
            </c:numRef>
          </c:val>
          <c:extLst>
            <c:ext xmlns:c16="http://schemas.microsoft.com/office/drawing/2014/chart" uri="{C3380CC4-5D6E-409C-BE32-E72D297353CC}">
              <c16:uniqueId val="{00000000-CF19-44D7-B2CD-A31FC5335F2B}"/>
            </c:ext>
          </c:extLst>
        </c:ser>
        <c:dLbls>
          <c:showLegendKey val="0"/>
          <c:showVal val="0"/>
          <c:showCatName val="0"/>
          <c:showSerName val="0"/>
          <c:showPercent val="0"/>
          <c:showBubbleSize val="0"/>
        </c:dLbls>
        <c:gapWidth val="182"/>
        <c:axId val="1785644496"/>
        <c:axId val="1791360976"/>
      </c:barChart>
      <c:catAx>
        <c:axId val="178564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360976"/>
        <c:crosses val="autoZero"/>
        <c:auto val="1"/>
        <c:lblAlgn val="ctr"/>
        <c:lblOffset val="100"/>
        <c:noMultiLvlLbl val="0"/>
      </c:catAx>
      <c:valAx>
        <c:axId val="1791360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644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TABLE!PivotTable13</c:name>
    <c:fmtId val="8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TABLE'!$A$152:$A$155</c:f>
              <c:strCache>
                <c:ptCount val="3"/>
                <c:pt idx="0">
                  <c:v>Laptops</c:v>
                </c:pt>
                <c:pt idx="1">
                  <c:v>Mobiles</c:v>
                </c:pt>
                <c:pt idx="2">
                  <c:v>Speakers</c:v>
                </c:pt>
              </c:strCache>
            </c:strRef>
          </c:cat>
          <c:val>
            <c:numRef>
              <c:f>'PIVOT TABLE'!$B$152:$B$155</c:f>
              <c:numCache>
                <c:formatCode>General</c:formatCode>
                <c:ptCount val="3"/>
                <c:pt idx="0">
                  <c:v>26</c:v>
                </c:pt>
                <c:pt idx="1">
                  <c:v>11</c:v>
                </c:pt>
                <c:pt idx="2">
                  <c:v>9</c:v>
                </c:pt>
              </c:numCache>
            </c:numRef>
          </c:val>
          <c:extLst>
            <c:ext xmlns:c16="http://schemas.microsoft.com/office/drawing/2014/chart" uri="{C3380CC4-5D6E-409C-BE32-E72D297353CC}">
              <c16:uniqueId val="{00000000-3DC8-4DBD-92AA-073AEBDDFA1F}"/>
            </c:ext>
          </c:extLst>
        </c:ser>
        <c:dLbls>
          <c:showLegendKey val="0"/>
          <c:showVal val="0"/>
          <c:showCatName val="0"/>
          <c:showSerName val="0"/>
          <c:showPercent val="0"/>
          <c:showBubbleSize val="0"/>
        </c:dLbls>
        <c:gapWidth val="182"/>
        <c:axId val="1797791616"/>
        <c:axId val="1791364336"/>
      </c:barChart>
      <c:catAx>
        <c:axId val="179779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364336"/>
        <c:crosses val="autoZero"/>
        <c:auto val="1"/>
        <c:lblAlgn val="ctr"/>
        <c:lblOffset val="100"/>
        <c:noMultiLvlLbl val="0"/>
      </c:catAx>
      <c:valAx>
        <c:axId val="17913643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79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TABLE!PivotTable14</c:name>
    <c:fmtId val="9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TABLE'!$A$159:$A$165</c:f>
              <c:strCache>
                <c:ptCount val="6"/>
                <c:pt idx="0">
                  <c:v>4K LED TV's</c:v>
                </c:pt>
                <c:pt idx="1">
                  <c:v>Furniture</c:v>
                </c:pt>
                <c:pt idx="2">
                  <c:v>Laptops</c:v>
                </c:pt>
                <c:pt idx="3">
                  <c:v>LED TV's</c:v>
                </c:pt>
                <c:pt idx="4">
                  <c:v>Mobiles</c:v>
                </c:pt>
                <c:pt idx="5">
                  <c:v>Speakers</c:v>
                </c:pt>
              </c:strCache>
            </c:strRef>
          </c:cat>
          <c:val>
            <c:numRef>
              <c:f>'PIVOT TABLE'!$B$159:$B$165</c:f>
              <c:numCache>
                <c:formatCode>General</c:formatCode>
                <c:ptCount val="6"/>
                <c:pt idx="0">
                  <c:v>89</c:v>
                </c:pt>
                <c:pt idx="1">
                  <c:v>172</c:v>
                </c:pt>
                <c:pt idx="2">
                  <c:v>26</c:v>
                </c:pt>
                <c:pt idx="3">
                  <c:v>44</c:v>
                </c:pt>
                <c:pt idx="4">
                  <c:v>11</c:v>
                </c:pt>
                <c:pt idx="5">
                  <c:v>9</c:v>
                </c:pt>
              </c:numCache>
            </c:numRef>
          </c:val>
          <c:extLst>
            <c:ext xmlns:c16="http://schemas.microsoft.com/office/drawing/2014/chart" uri="{C3380CC4-5D6E-409C-BE32-E72D297353CC}">
              <c16:uniqueId val="{00000000-96F7-48DF-953A-C46F0738839D}"/>
            </c:ext>
          </c:extLst>
        </c:ser>
        <c:dLbls>
          <c:showLegendKey val="0"/>
          <c:showVal val="0"/>
          <c:showCatName val="0"/>
          <c:showSerName val="0"/>
          <c:showPercent val="0"/>
          <c:showBubbleSize val="0"/>
        </c:dLbls>
        <c:gapWidth val="219"/>
        <c:overlap val="-27"/>
        <c:axId val="1797756352"/>
        <c:axId val="1791360016"/>
      </c:barChart>
      <c:catAx>
        <c:axId val="179775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360016"/>
        <c:crosses val="autoZero"/>
        <c:auto val="1"/>
        <c:lblAlgn val="ctr"/>
        <c:lblOffset val="100"/>
        <c:noMultiLvlLbl val="0"/>
      </c:catAx>
      <c:valAx>
        <c:axId val="179136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756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TABLE!PivotTable9</c:name>
    <c:fmtId val="6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TABLE'!$A$104:$A$107</c:f>
              <c:strCache>
                <c:ptCount val="3"/>
                <c:pt idx="0">
                  <c:v>Mahesh</c:v>
                </c:pt>
                <c:pt idx="1">
                  <c:v>Kiran</c:v>
                </c:pt>
                <c:pt idx="2">
                  <c:v>Ramesh</c:v>
                </c:pt>
              </c:strCache>
            </c:strRef>
          </c:cat>
          <c:val>
            <c:numRef>
              <c:f>'PIVOT TABLE'!$B$104:$B$107</c:f>
              <c:numCache>
                <c:formatCode>General</c:formatCode>
                <c:ptCount val="3"/>
                <c:pt idx="0">
                  <c:v>61</c:v>
                </c:pt>
                <c:pt idx="1">
                  <c:v>81</c:v>
                </c:pt>
                <c:pt idx="2">
                  <c:v>130</c:v>
                </c:pt>
              </c:numCache>
            </c:numRef>
          </c:val>
          <c:extLst>
            <c:ext xmlns:c16="http://schemas.microsoft.com/office/drawing/2014/chart" uri="{C3380CC4-5D6E-409C-BE32-E72D297353CC}">
              <c16:uniqueId val="{00000000-CEA4-46F7-8A29-8444C0EC188F}"/>
            </c:ext>
          </c:extLst>
        </c:ser>
        <c:dLbls>
          <c:showLegendKey val="0"/>
          <c:showVal val="0"/>
          <c:showCatName val="0"/>
          <c:showSerName val="0"/>
          <c:showPercent val="0"/>
          <c:showBubbleSize val="0"/>
        </c:dLbls>
        <c:gapWidth val="182"/>
        <c:axId val="1678054352"/>
        <c:axId val="1871369552"/>
      </c:barChart>
      <c:catAx>
        <c:axId val="1678054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1369552"/>
        <c:crosses val="autoZero"/>
        <c:auto val="1"/>
        <c:lblAlgn val="ctr"/>
        <c:lblOffset val="100"/>
        <c:noMultiLvlLbl val="0"/>
      </c:catAx>
      <c:valAx>
        <c:axId val="1871369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054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TABLE!PivotTable10</c:name>
    <c:fmtId val="6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TABLE'!$A$113:$A$116</c:f>
              <c:strCache>
                <c:ptCount val="3"/>
                <c:pt idx="0">
                  <c:v>Ganesh</c:v>
                </c:pt>
                <c:pt idx="1">
                  <c:v>Gopi</c:v>
                </c:pt>
                <c:pt idx="2">
                  <c:v>Mahesh</c:v>
                </c:pt>
              </c:strCache>
            </c:strRef>
          </c:cat>
          <c:val>
            <c:numRef>
              <c:f>'PIVOT TABLE'!$B$113:$B$116</c:f>
              <c:numCache>
                <c:formatCode>General</c:formatCode>
                <c:ptCount val="3"/>
                <c:pt idx="0">
                  <c:v>26</c:v>
                </c:pt>
                <c:pt idx="1">
                  <c:v>53</c:v>
                </c:pt>
                <c:pt idx="2">
                  <c:v>61</c:v>
                </c:pt>
              </c:numCache>
            </c:numRef>
          </c:val>
          <c:extLst>
            <c:ext xmlns:c16="http://schemas.microsoft.com/office/drawing/2014/chart" uri="{C3380CC4-5D6E-409C-BE32-E72D297353CC}">
              <c16:uniqueId val="{00000000-740D-49EF-AF7E-66703DDA1195}"/>
            </c:ext>
          </c:extLst>
        </c:ser>
        <c:dLbls>
          <c:showLegendKey val="0"/>
          <c:showVal val="0"/>
          <c:showCatName val="0"/>
          <c:showSerName val="0"/>
          <c:showPercent val="0"/>
          <c:showBubbleSize val="0"/>
        </c:dLbls>
        <c:gapWidth val="182"/>
        <c:axId val="1678033008"/>
        <c:axId val="1791364816"/>
      </c:barChart>
      <c:catAx>
        <c:axId val="1678033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364816"/>
        <c:crosses val="autoZero"/>
        <c:auto val="1"/>
        <c:lblAlgn val="ctr"/>
        <c:lblOffset val="100"/>
        <c:noMultiLvlLbl val="0"/>
      </c:catAx>
      <c:valAx>
        <c:axId val="179136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03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[Meghana dashboard.xlsx]PIVOT TABLE!PivotTable11</c:name>
    <c:fmtId val="7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TABLE'!$A$130:$A$135</c:f>
              <c:strCache>
                <c:ptCount val="5"/>
                <c:pt idx="0">
                  <c:v>Ganesh</c:v>
                </c:pt>
                <c:pt idx="1">
                  <c:v>Gopi</c:v>
                </c:pt>
                <c:pt idx="2">
                  <c:v>Kiran</c:v>
                </c:pt>
                <c:pt idx="3">
                  <c:v>Mahesh</c:v>
                </c:pt>
                <c:pt idx="4">
                  <c:v>Ramesh</c:v>
                </c:pt>
              </c:strCache>
            </c:strRef>
          </c:cat>
          <c:val>
            <c:numRef>
              <c:f>'PIVOT TABLE'!$B$130:$B$135</c:f>
              <c:numCache>
                <c:formatCode>General</c:formatCode>
                <c:ptCount val="5"/>
                <c:pt idx="0">
                  <c:v>26</c:v>
                </c:pt>
                <c:pt idx="1">
                  <c:v>53</c:v>
                </c:pt>
                <c:pt idx="2">
                  <c:v>81</c:v>
                </c:pt>
                <c:pt idx="3">
                  <c:v>61</c:v>
                </c:pt>
                <c:pt idx="4">
                  <c:v>130</c:v>
                </c:pt>
              </c:numCache>
            </c:numRef>
          </c:val>
          <c:extLst>
            <c:ext xmlns:c16="http://schemas.microsoft.com/office/drawing/2014/chart" uri="{C3380CC4-5D6E-409C-BE32-E72D297353CC}">
              <c16:uniqueId val="{00000000-BCAB-477A-8102-F3720D69086E}"/>
            </c:ext>
          </c:extLst>
        </c:ser>
        <c:dLbls>
          <c:showLegendKey val="0"/>
          <c:showVal val="0"/>
          <c:showCatName val="0"/>
          <c:showSerName val="0"/>
          <c:showPercent val="0"/>
          <c:showBubbleSize val="0"/>
        </c:dLbls>
        <c:gapWidth val="219"/>
        <c:overlap val="-27"/>
        <c:axId val="1785804720"/>
        <c:axId val="1791356176"/>
      </c:barChart>
      <c:catAx>
        <c:axId val="178580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356176"/>
        <c:crosses val="autoZero"/>
        <c:auto val="1"/>
        <c:lblAlgn val="ctr"/>
        <c:lblOffset val="100"/>
        <c:noMultiLvlLbl val="0"/>
      </c:catAx>
      <c:valAx>
        <c:axId val="1791356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804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SALESMANS!A1"/><Relationship Id="rId7" Type="http://schemas.openxmlformats.org/officeDocument/2006/relationships/image" Target="../media/image3.png"/><Relationship Id="rId12" Type="http://schemas.openxmlformats.org/officeDocument/2006/relationships/chart" Target="../charts/chart14.xml"/><Relationship Id="rId2" Type="http://schemas.openxmlformats.org/officeDocument/2006/relationships/hyperlink" Target="#ABOUT!A1"/><Relationship Id="rId1" Type="http://schemas.openxmlformats.org/officeDocument/2006/relationships/hyperlink" Target="#DASHBOARD!A1"/><Relationship Id="rId6" Type="http://schemas.openxmlformats.org/officeDocument/2006/relationships/image" Target="../media/image2.svg"/><Relationship Id="rId11" Type="http://schemas.openxmlformats.org/officeDocument/2006/relationships/chart" Target="../charts/chart13.xml"/><Relationship Id="rId5" Type="http://schemas.openxmlformats.org/officeDocument/2006/relationships/image" Target="../media/image1.png"/><Relationship Id="rId10" Type="http://schemas.openxmlformats.org/officeDocument/2006/relationships/chart" Target="../charts/chart12.xml"/><Relationship Id="rId4" Type="http://schemas.openxmlformats.org/officeDocument/2006/relationships/hyperlink" Target="#PRODUCTS!A1"/><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hyperlink" Target="#SALESMANS!A1"/><Relationship Id="rId7" Type="http://schemas.openxmlformats.org/officeDocument/2006/relationships/chart" Target="../charts/chart15.xml"/><Relationship Id="rId2" Type="http://schemas.openxmlformats.org/officeDocument/2006/relationships/hyperlink" Target="#ABOUT!A1"/><Relationship Id="rId1" Type="http://schemas.openxmlformats.org/officeDocument/2006/relationships/hyperlink" Target="#DASHBOARD!A1"/><Relationship Id="rId6" Type="http://schemas.openxmlformats.org/officeDocument/2006/relationships/image" Target="../media/image6.svg"/><Relationship Id="rId5" Type="http://schemas.openxmlformats.org/officeDocument/2006/relationships/image" Target="../media/image1.png"/><Relationship Id="rId4" Type="http://schemas.openxmlformats.org/officeDocument/2006/relationships/hyperlink" Target="#PRODUCTS!A1"/><Relationship Id="rId9"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hyperlink" Target="#SALESMANS!A1"/><Relationship Id="rId7" Type="http://schemas.openxmlformats.org/officeDocument/2006/relationships/chart" Target="../charts/chart18.xml"/><Relationship Id="rId2" Type="http://schemas.openxmlformats.org/officeDocument/2006/relationships/hyperlink" Target="#ABOUT!A1"/><Relationship Id="rId1" Type="http://schemas.openxmlformats.org/officeDocument/2006/relationships/hyperlink" Target="#DASHBOARD!A1"/><Relationship Id="rId6" Type="http://schemas.openxmlformats.org/officeDocument/2006/relationships/image" Target="../media/image6.svg"/><Relationship Id="rId5" Type="http://schemas.openxmlformats.org/officeDocument/2006/relationships/image" Target="../media/image1.png"/><Relationship Id="rId4" Type="http://schemas.openxmlformats.org/officeDocument/2006/relationships/hyperlink" Target="#PRODUCTS!A1"/><Relationship Id="rId9"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3" Type="http://schemas.openxmlformats.org/officeDocument/2006/relationships/hyperlink" Target="#SALESMANS!A1"/><Relationship Id="rId2" Type="http://schemas.openxmlformats.org/officeDocument/2006/relationships/hyperlink" Target="#ABOUT!A1"/><Relationship Id="rId1" Type="http://schemas.openxmlformats.org/officeDocument/2006/relationships/hyperlink" Target="#DASHBOARD!A1"/><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hyperlink" Target="#PRODUCTS!A1"/></Relationships>
</file>

<file path=xl/drawings/drawing1.xml><?xml version="1.0" encoding="utf-8"?>
<xdr:wsDr xmlns:xdr="http://schemas.openxmlformats.org/drawingml/2006/spreadsheetDrawing" xmlns:a="http://schemas.openxmlformats.org/drawingml/2006/main">
  <xdr:twoCellAnchor>
    <xdr:from>
      <xdr:col>0</xdr:col>
      <xdr:colOff>381000</xdr:colOff>
      <xdr:row>13</xdr:row>
      <xdr:rowOff>72390</xdr:rowOff>
    </xdr:from>
    <xdr:to>
      <xdr:col>7</xdr:col>
      <xdr:colOff>121920</xdr:colOff>
      <xdr:row>28</xdr:row>
      <xdr:rowOff>72390</xdr:rowOff>
    </xdr:to>
    <xdr:graphicFrame macro="">
      <xdr:nvGraphicFramePr>
        <xdr:cNvPr id="2" name="Chart 1">
          <a:extLst>
            <a:ext uri="{FF2B5EF4-FFF2-40B4-BE49-F238E27FC236}">
              <a16:creationId xmlns:a16="http://schemas.microsoft.com/office/drawing/2014/main" id="{503D5E66-EC53-DDED-54B5-548C3E0A4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296594</xdr:colOff>
      <xdr:row>55</xdr:row>
      <xdr:rowOff>156698</xdr:rowOff>
    </xdr:from>
    <xdr:to>
      <xdr:col>4</xdr:col>
      <xdr:colOff>543169</xdr:colOff>
      <xdr:row>63</xdr:row>
      <xdr:rowOff>65258</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6F235E7E-BEBB-C55F-6D47-9F23C2BCA60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96594" y="10365544"/>
              <a:ext cx="3314113" cy="139348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47</xdr:row>
      <xdr:rowOff>31653</xdr:rowOff>
    </xdr:from>
    <xdr:to>
      <xdr:col>4</xdr:col>
      <xdr:colOff>551376</xdr:colOff>
      <xdr:row>53</xdr:row>
      <xdr:rowOff>179169</xdr:rowOff>
    </xdr:to>
    <mc:AlternateContent xmlns:mc="http://schemas.openxmlformats.org/markup-compatibility/2006" xmlns:a14="http://schemas.microsoft.com/office/drawing/2010/main">
      <mc:Choice Requires="a14">
        <xdr:graphicFrame macro="">
          <xdr:nvGraphicFramePr>
            <xdr:cNvPr id="5" name="Place">
              <a:extLst>
                <a:ext uri="{FF2B5EF4-FFF2-40B4-BE49-F238E27FC236}">
                  <a16:creationId xmlns:a16="http://schemas.microsoft.com/office/drawing/2014/main" id="{4C7C80C1-D5F5-7636-7AA9-26A0E4AFB2A3}"/>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mlns="">
        <xdr:sp macro="" textlink="">
          <xdr:nvSpPr>
            <xdr:cNvPr id="0" name=""/>
            <xdr:cNvSpPr>
              <a:spLocks noTextEdit="1"/>
            </xdr:cNvSpPr>
          </xdr:nvSpPr>
          <xdr:spPr>
            <a:xfrm>
              <a:off x="0" y="8755576"/>
              <a:ext cx="3618914" cy="1261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64</xdr:row>
      <xdr:rowOff>124852</xdr:rowOff>
    </xdr:from>
    <xdr:to>
      <xdr:col>7</xdr:col>
      <xdr:colOff>299916</xdr:colOff>
      <xdr:row>69</xdr:row>
      <xdr:rowOff>45916</xdr:rowOff>
    </xdr:to>
    <mc:AlternateContent xmlns:mc="http://schemas.openxmlformats.org/markup-compatibility/2006" xmlns:a14="http://schemas.microsoft.com/office/drawing/2010/main">
      <mc:Choice Requires="a14">
        <xdr:graphicFrame macro="">
          <xdr:nvGraphicFramePr>
            <xdr:cNvPr id="6" name="Products">
              <a:extLst>
                <a:ext uri="{FF2B5EF4-FFF2-40B4-BE49-F238E27FC236}">
                  <a16:creationId xmlns:a16="http://schemas.microsoft.com/office/drawing/2014/main" id="{9724A428-8DC6-893B-9239-47385E00500B}"/>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0" y="12004237"/>
              <a:ext cx="5184531" cy="849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29</xdr:row>
      <xdr:rowOff>20515</xdr:rowOff>
    </xdr:from>
    <xdr:to>
      <xdr:col>6</xdr:col>
      <xdr:colOff>293077</xdr:colOff>
      <xdr:row>43</xdr:row>
      <xdr:rowOff>165099</xdr:rowOff>
    </xdr:to>
    <xdr:graphicFrame macro="">
      <xdr:nvGraphicFramePr>
        <xdr:cNvPr id="8" name="Chart 7">
          <a:extLst>
            <a:ext uri="{FF2B5EF4-FFF2-40B4-BE49-F238E27FC236}">
              <a16:creationId xmlns:a16="http://schemas.microsoft.com/office/drawing/2014/main" id="{B750E13E-ED4A-02F0-D162-EA1F7912C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205154</xdr:colOff>
      <xdr:row>28</xdr:row>
      <xdr:rowOff>167053</xdr:rowOff>
    </xdr:from>
    <xdr:to>
      <xdr:col>16</xdr:col>
      <xdr:colOff>537308</xdr:colOff>
      <xdr:row>43</xdr:row>
      <xdr:rowOff>126022</xdr:rowOff>
    </xdr:to>
    <xdr:graphicFrame macro="">
      <xdr:nvGraphicFramePr>
        <xdr:cNvPr id="14" name="Chart 13">
          <a:extLst>
            <a:ext uri="{FF2B5EF4-FFF2-40B4-BE49-F238E27FC236}">
              <a16:creationId xmlns:a16="http://schemas.microsoft.com/office/drawing/2014/main" id="{388078B9-F9D4-62F9-A302-23E2D3D985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429846</xdr:colOff>
      <xdr:row>9</xdr:row>
      <xdr:rowOff>20515</xdr:rowOff>
    </xdr:from>
    <xdr:to>
      <xdr:col>19</xdr:col>
      <xdr:colOff>156308</xdr:colOff>
      <xdr:row>23</xdr:row>
      <xdr:rowOff>165099</xdr:rowOff>
    </xdr:to>
    <xdr:graphicFrame macro="">
      <xdr:nvGraphicFramePr>
        <xdr:cNvPr id="15" name="Chart 14">
          <a:extLst>
            <a:ext uri="{FF2B5EF4-FFF2-40B4-BE49-F238E27FC236}">
              <a16:creationId xmlns:a16="http://schemas.microsoft.com/office/drawing/2014/main" id="{9963B6EE-ADB6-6B52-6187-73141CE565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420077</xdr:colOff>
      <xdr:row>83</xdr:row>
      <xdr:rowOff>10746</xdr:rowOff>
    </xdr:from>
    <xdr:to>
      <xdr:col>14</xdr:col>
      <xdr:colOff>146538</xdr:colOff>
      <xdr:row>97</xdr:row>
      <xdr:rowOff>155331</xdr:rowOff>
    </xdr:to>
    <xdr:graphicFrame macro="">
      <xdr:nvGraphicFramePr>
        <xdr:cNvPr id="3" name="Chart 2">
          <a:extLst>
            <a:ext uri="{FF2B5EF4-FFF2-40B4-BE49-F238E27FC236}">
              <a16:creationId xmlns:a16="http://schemas.microsoft.com/office/drawing/2014/main" id="{85F1E25C-0AEF-1971-2DC8-1A3FE31BB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234461</xdr:colOff>
      <xdr:row>93</xdr:row>
      <xdr:rowOff>98669</xdr:rowOff>
    </xdr:from>
    <xdr:to>
      <xdr:col>9</xdr:col>
      <xdr:colOff>566615</xdr:colOff>
      <xdr:row>108</xdr:row>
      <xdr:rowOff>57638</xdr:rowOff>
    </xdr:to>
    <xdr:graphicFrame macro="">
      <xdr:nvGraphicFramePr>
        <xdr:cNvPr id="7" name="Chart 6">
          <a:extLst>
            <a:ext uri="{FF2B5EF4-FFF2-40B4-BE49-F238E27FC236}">
              <a16:creationId xmlns:a16="http://schemas.microsoft.com/office/drawing/2014/main" id="{2BA4ABA9-6940-06E0-89C9-3165E4AE5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166077</xdr:colOff>
      <xdr:row>111</xdr:row>
      <xdr:rowOff>59591</xdr:rowOff>
    </xdr:from>
    <xdr:to>
      <xdr:col>10</xdr:col>
      <xdr:colOff>498231</xdr:colOff>
      <xdr:row>126</xdr:row>
      <xdr:rowOff>18561</xdr:rowOff>
    </xdr:to>
    <xdr:graphicFrame macro="">
      <xdr:nvGraphicFramePr>
        <xdr:cNvPr id="10" name="Chart 9">
          <a:extLst>
            <a:ext uri="{FF2B5EF4-FFF2-40B4-BE49-F238E27FC236}">
              <a16:creationId xmlns:a16="http://schemas.microsoft.com/office/drawing/2014/main" id="{F82CB9BC-12A0-4994-3F86-59C66272A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9769</xdr:colOff>
      <xdr:row>128</xdr:row>
      <xdr:rowOff>49823</xdr:rowOff>
    </xdr:from>
    <xdr:to>
      <xdr:col>10</xdr:col>
      <xdr:colOff>341923</xdr:colOff>
      <xdr:row>143</xdr:row>
      <xdr:rowOff>8792</xdr:rowOff>
    </xdr:to>
    <xdr:graphicFrame macro="">
      <xdr:nvGraphicFramePr>
        <xdr:cNvPr id="11" name="Chart 10">
          <a:extLst>
            <a:ext uri="{FF2B5EF4-FFF2-40B4-BE49-F238E27FC236}">
              <a16:creationId xmlns:a16="http://schemas.microsoft.com/office/drawing/2014/main" id="{9DC77E17-11FB-A538-FB03-2FA5C43C4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420077</xdr:colOff>
      <xdr:row>145</xdr:row>
      <xdr:rowOff>10746</xdr:rowOff>
    </xdr:from>
    <xdr:to>
      <xdr:col>14</xdr:col>
      <xdr:colOff>146538</xdr:colOff>
      <xdr:row>159</xdr:row>
      <xdr:rowOff>155331</xdr:rowOff>
    </xdr:to>
    <xdr:graphicFrame macro="">
      <xdr:nvGraphicFramePr>
        <xdr:cNvPr id="12" name="Chart 11">
          <a:extLst>
            <a:ext uri="{FF2B5EF4-FFF2-40B4-BE49-F238E27FC236}">
              <a16:creationId xmlns:a16="http://schemas.microsoft.com/office/drawing/2014/main" id="{F2914B3E-1BD4-2FE0-328C-6AD86BD3CA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19539</xdr:colOff>
      <xdr:row>144</xdr:row>
      <xdr:rowOff>10746</xdr:rowOff>
    </xdr:from>
    <xdr:to>
      <xdr:col>23</xdr:col>
      <xdr:colOff>351693</xdr:colOff>
      <xdr:row>158</xdr:row>
      <xdr:rowOff>155330</xdr:rowOff>
    </xdr:to>
    <xdr:graphicFrame macro="">
      <xdr:nvGraphicFramePr>
        <xdr:cNvPr id="13" name="Chart 12">
          <a:extLst>
            <a:ext uri="{FF2B5EF4-FFF2-40B4-BE49-F238E27FC236}">
              <a16:creationId xmlns:a16="http://schemas.microsoft.com/office/drawing/2014/main" id="{3674381D-EC1D-0450-9A23-0CEEC1034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420077</xdr:colOff>
      <xdr:row>163</xdr:row>
      <xdr:rowOff>108438</xdr:rowOff>
    </xdr:from>
    <xdr:to>
      <xdr:col>11</xdr:col>
      <xdr:colOff>146538</xdr:colOff>
      <xdr:row>178</xdr:row>
      <xdr:rowOff>67408</xdr:rowOff>
    </xdr:to>
    <xdr:graphicFrame macro="">
      <xdr:nvGraphicFramePr>
        <xdr:cNvPr id="16" name="Chart 15">
          <a:extLst>
            <a:ext uri="{FF2B5EF4-FFF2-40B4-BE49-F238E27FC236}">
              <a16:creationId xmlns:a16="http://schemas.microsoft.com/office/drawing/2014/main" id="{9D3DC7A5-DF6E-DED0-EFA8-D88171602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167639</xdr:colOff>
      <xdr:row>0</xdr:row>
      <xdr:rowOff>60960</xdr:rowOff>
    </xdr:from>
    <xdr:to>
      <xdr:col>23</xdr:col>
      <xdr:colOff>507999</xdr:colOff>
      <xdr:row>45</xdr:row>
      <xdr:rowOff>54429</xdr:rowOff>
    </xdr:to>
    <xdr:sp macro="" textlink="">
      <xdr:nvSpPr>
        <xdr:cNvPr id="2" name="Rectangle: Rounded Corners 1">
          <a:extLst>
            <a:ext uri="{FF2B5EF4-FFF2-40B4-BE49-F238E27FC236}">
              <a16:creationId xmlns:a16="http://schemas.microsoft.com/office/drawing/2014/main" id="{B20FE606-02F6-5EE4-8AE8-DBB85A662AE2}"/>
            </a:ext>
          </a:extLst>
        </xdr:cNvPr>
        <xdr:cNvSpPr/>
      </xdr:nvSpPr>
      <xdr:spPr>
        <a:xfrm>
          <a:off x="167639" y="60960"/>
          <a:ext cx="14484149" cy="8415574"/>
        </a:xfrm>
        <a:prstGeom prst="roundRect">
          <a:avLst>
            <a:gd name="adj" fmla="val 169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434340</xdr:colOff>
      <xdr:row>0</xdr:row>
      <xdr:rowOff>121920</xdr:rowOff>
    </xdr:from>
    <xdr:to>
      <xdr:col>23</xdr:col>
      <xdr:colOff>441158</xdr:colOff>
      <xdr:row>44</xdr:row>
      <xdr:rowOff>163286</xdr:rowOff>
    </xdr:to>
    <xdr:sp macro="" textlink="">
      <xdr:nvSpPr>
        <xdr:cNvPr id="3" name="Rectangle: Rounded Corners 2">
          <a:extLst>
            <a:ext uri="{FF2B5EF4-FFF2-40B4-BE49-F238E27FC236}">
              <a16:creationId xmlns:a16="http://schemas.microsoft.com/office/drawing/2014/main" id="{5D479F61-DD7E-EA4C-2913-00FF4496365A}"/>
            </a:ext>
          </a:extLst>
        </xdr:cNvPr>
        <xdr:cNvSpPr/>
      </xdr:nvSpPr>
      <xdr:spPr>
        <a:xfrm>
          <a:off x="1664235" y="121920"/>
          <a:ext cx="12920712" cy="8276313"/>
        </a:xfrm>
        <a:prstGeom prst="roundRect">
          <a:avLst>
            <a:gd name="adj" fmla="val 796"/>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268705</xdr:colOff>
      <xdr:row>10</xdr:row>
      <xdr:rowOff>158415</xdr:rowOff>
    </xdr:from>
    <xdr:to>
      <xdr:col>2</xdr:col>
      <xdr:colOff>390625</xdr:colOff>
      <xdr:row>12</xdr:row>
      <xdr:rowOff>166035</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7B96FDCF-221C-9B71-59DC-D41A9E7B5CE8}"/>
            </a:ext>
          </a:extLst>
        </xdr:cNvPr>
        <xdr:cNvSpPr/>
      </xdr:nvSpPr>
      <xdr:spPr>
        <a:xfrm>
          <a:off x="268705" y="2029994"/>
          <a:ext cx="1351815" cy="38193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latin typeface="Aptos" panose="020B0004020202020204" pitchFamily="34" charset="0"/>
            </a:rPr>
            <a:t>DASHBOARD</a:t>
          </a:r>
        </a:p>
      </xdr:txBody>
    </xdr:sp>
    <xdr:clientData/>
  </xdr:twoCellAnchor>
  <xdr:twoCellAnchor>
    <xdr:from>
      <xdr:col>0</xdr:col>
      <xdr:colOff>218975</xdr:colOff>
      <xdr:row>20</xdr:row>
      <xdr:rowOff>11229</xdr:rowOff>
    </xdr:from>
    <xdr:to>
      <xdr:col>2</xdr:col>
      <xdr:colOff>340895</xdr:colOff>
      <xdr:row>22</xdr:row>
      <xdr:rowOff>18849</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2171273A-388A-40D4-98A0-C00C12DE0392}"/>
            </a:ext>
          </a:extLst>
        </xdr:cNvPr>
        <xdr:cNvSpPr/>
      </xdr:nvSpPr>
      <xdr:spPr>
        <a:xfrm>
          <a:off x="218975" y="3754387"/>
          <a:ext cx="1351815" cy="381936"/>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Aptos" panose="020B0004020202020204" pitchFamily="34" charset="0"/>
            </a:rPr>
            <a:t>ABOUT</a:t>
          </a:r>
        </a:p>
      </xdr:txBody>
    </xdr:sp>
    <xdr:clientData/>
  </xdr:twoCellAnchor>
  <xdr:twoCellAnchor>
    <xdr:from>
      <xdr:col>0</xdr:col>
      <xdr:colOff>238091</xdr:colOff>
      <xdr:row>16</xdr:row>
      <xdr:rowOff>165769</xdr:rowOff>
    </xdr:from>
    <xdr:to>
      <xdr:col>2</xdr:col>
      <xdr:colOff>360011</xdr:colOff>
      <xdr:row>18</xdr:row>
      <xdr:rowOff>173388</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8B9DFD80-BA38-4F06-8A3F-4DFC5A199A6F}"/>
            </a:ext>
          </a:extLst>
        </xdr:cNvPr>
        <xdr:cNvSpPr/>
      </xdr:nvSpPr>
      <xdr:spPr>
        <a:xfrm>
          <a:off x="238091" y="3160295"/>
          <a:ext cx="1351815" cy="381935"/>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Aptos" panose="020B0004020202020204" pitchFamily="34" charset="0"/>
            </a:rPr>
            <a:t>SALESMANS</a:t>
          </a:r>
        </a:p>
      </xdr:txBody>
    </xdr:sp>
    <xdr:clientData/>
  </xdr:twoCellAnchor>
  <xdr:twoCellAnchor>
    <xdr:from>
      <xdr:col>0</xdr:col>
      <xdr:colOff>243840</xdr:colOff>
      <xdr:row>13</xdr:row>
      <xdr:rowOff>135154</xdr:rowOff>
    </xdr:from>
    <xdr:to>
      <xdr:col>2</xdr:col>
      <xdr:colOff>365760</xdr:colOff>
      <xdr:row>15</xdr:row>
      <xdr:rowOff>147053</xdr:rowOff>
    </xdr:to>
    <xdr:sp macro="" textlink="">
      <xdr:nvSpPr>
        <xdr:cNvPr id="11" name="Rectangle: Rounded Corners 10">
          <a:hlinkClick xmlns:r="http://schemas.openxmlformats.org/officeDocument/2006/relationships" r:id="rId4"/>
          <a:extLst>
            <a:ext uri="{FF2B5EF4-FFF2-40B4-BE49-F238E27FC236}">
              <a16:creationId xmlns:a16="http://schemas.microsoft.com/office/drawing/2014/main" id="{E893E6B1-46C7-46FA-B6CE-0ADFF95A6F3D}"/>
            </a:ext>
          </a:extLst>
        </xdr:cNvPr>
        <xdr:cNvSpPr/>
      </xdr:nvSpPr>
      <xdr:spPr>
        <a:xfrm>
          <a:off x="243840" y="2568207"/>
          <a:ext cx="1351815" cy="386214"/>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Aptos" panose="020B0004020202020204" pitchFamily="34" charset="0"/>
            </a:rPr>
            <a:t>PRODUCTS</a:t>
          </a:r>
        </a:p>
      </xdr:txBody>
    </xdr:sp>
    <xdr:clientData/>
  </xdr:twoCellAnchor>
  <xdr:twoCellAnchor editAs="oneCell">
    <xdr:from>
      <xdr:col>2</xdr:col>
      <xdr:colOff>571500</xdr:colOff>
      <xdr:row>1</xdr:row>
      <xdr:rowOff>22860</xdr:rowOff>
    </xdr:from>
    <xdr:to>
      <xdr:col>13</xdr:col>
      <xdr:colOff>40105</xdr:colOff>
      <xdr:row>8</xdr:row>
      <xdr:rowOff>114300</xdr:rowOff>
    </xdr:to>
    <mc:AlternateContent xmlns:mc="http://schemas.openxmlformats.org/markup-compatibility/2006" xmlns:tsle="http://schemas.microsoft.com/office/drawing/2012/timeslicer">
      <mc:Choice Requires="tsle">
        <xdr:graphicFrame macro="">
          <xdr:nvGraphicFramePr>
            <xdr:cNvPr id="14" name="Date 1">
              <a:extLst>
                <a:ext uri="{FF2B5EF4-FFF2-40B4-BE49-F238E27FC236}">
                  <a16:creationId xmlns:a16="http://schemas.microsoft.com/office/drawing/2014/main" id="{25AC8566-97DC-4E73-88A7-4C04959E994C}"/>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799167" y="202777"/>
              <a:ext cx="6220771" cy="135085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139421</xdr:colOff>
      <xdr:row>1</xdr:row>
      <xdr:rowOff>22860</xdr:rowOff>
    </xdr:from>
    <xdr:to>
      <xdr:col>23</xdr:col>
      <xdr:colOff>360947</xdr:colOff>
      <xdr:row>8</xdr:row>
      <xdr:rowOff>106680</xdr:rowOff>
    </xdr:to>
    <mc:AlternateContent xmlns:mc="http://schemas.openxmlformats.org/markup-compatibility/2006" xmlns:a14="http://schemas.microsoft.com/office/drawing/2010/main">
      <mc:Choice Requires="a14">
        <xdr:graphicFrame macro="">
          <xdr:nvGraphicFramePr>
            <xdr:cNvPr id="16" name="Place 1">
              <a:extLst>
                <a:ext uri="{FF2B5EF4-FFF2-40B4-BE49-F238E27FC236}">
                  <a16:creationId xmlns:a16="http://schemas.microsoft.com/office/drawing/2014/main" id="{90D738A9-797E-4A45-8323-6703BC62C2E1}"/>
                </a:ext>
              </a:extLst>
            </xdr:cNvPr>
            <xdr:cNvGraphicFramePr/>
          </xdr:nvGraphicFramePr>
          <xdr:xfrm>
            <a:off x="0" y="0"/>
            <a:ext cx="0" cy="0"/>
          </xdr:xfrm>
          <a:graphic>
            <a:graphicData uri="http://schemas.microsoft.com/office/drawing/2010/slicer">
              <sle:slicer xmlns:sle="http://schemas.microsoft.com/office/drawing/2010/slicer" name="Place 1"/>
            </a:graphicData>
          </a:graphic>
        </xdr:graphicFrame>
      </mc:Choice>
      <mc:Fallback xmlns="">
        <xdr:sp macro="" textlink="">
          <xdr:nvSpPr>
            <xdr:cNvPr id="0" name=""/>
            <xdr:cNvSpPr>
              <a:spLocks noTextEdit="1"/>
            </xdr:cNvSpPr>
          </xdr:nvSpPr>
          <xdr:spPr>
            <a:xfrm>
              <a:off x="8119254" y="202777"/>
              <a:ext cx="6359860" cy="1343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563879</xdr:colOff>
      <xdr:row>8</xdr:row>
      <xdr:rowOff>167640</xdr:rowOff>
    </xdr:from>
    <xdr:to>
      <xdr:col>23</xdr:col>
      <xdr:colOff>387685</xdr:colOff>
      <xdr:row>13</xdr:row>
      <xdr:rowOff>129540</xdr:rowOff>
    </xdr:to>
    <mc:AlternateContent xmlns:mc="http://schemas.openxmlformats.org/markup-compatibility/2006" xmlns:a14="http://schemas.microsoft.com/office/drawing/2010/main">
      <mc:Choice Requires="a14">
        <xdr:graphicFrame macro="">
          <xdr:nvGraphicFramePr>
            <xdr:cNvPr id="18" name="Products 1">
              <a:extLst>
                <a:ext uri="{FF2B5EF4-FFF2-40B4-BE49-F238E27FC236}">
                  <a16:creationId xmlns:a16="http://schemas.microsoft.com/office/drawing/2014/main" id="{A19D4CB6-F199-4C65-A7FB-84F0540F2C64}"/>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mlns="">
        <xdr:sp macro="" textlink="">
          <xdr:nvSpPr>
            <xdr:cNvPr id="0" name=""/>
            <xdr:cNvSpPr>
              <a:spLocks noTextEdit="1"/>
            </xdr:cNvSpPr>
          </xdr:nvSpPr>
          <xdr:spPr>
            <a:xfrm>
              <a:off x="1791546" y="1606973"/>
              <a:ext cx="12714306" cy="861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544285</xdr:colOff>
      <xdr:row>14</xdr:row>
      <xdr:rowOff>32657</xdr:rowOff>
    </xdr:from>
    <xdr:to>
      <xdr:col>4</xdr:col>
      <xdr:colOff>217714</xdr:colOff>
      <xdr:row>17</xdr:row>
      <xdr:rowOff>141515</xdr:rowOff>
    </xdr:to>
    <xdr:pic>
      <xdr:nvPicPr>
        <xdr:cNvPr id="20" name="Graphic 19" descr="Bar chart with solid fill">
          <a:extLst>
            <a:ext uri="{FF2B5EF4-FFF2-40B4-BE49-F238E27FC236}">
              <a16:creationId xmlns:a16="http://schemas.microsoft.com/office/drawing/2014/main" id="{BA84DAF4-B991-231D-6CB7-35B30F95258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63485" y="2623457"/>
          <a:ext cx="892629" cy="664029"/>
        </a:xfrm>
        <a:prstGeom prst="rect">
          <a:avLst/>
        </a:prstGeom>
      </xdr:spPr>
    </xdr:pic>
    <xdr:clientData/>
  </xdr:twoCellAnchor>
  <xdr:twoCellAnchor>
    <xdr:from>
      <xdr:col>4</xdr:col>
      <xdr:colOff>334211</xdr:colOff>
      <xdr:row>14</xdr:row>
      <xdr:rowOff>133684</xdr:rowOff>
    </xdr:from>
    <xdr:to>
      <xdr:col>7</xdr:col>
      <xdr:colOff>53474</xdr:colOff>
      <xdr:row>18</xdr:row>
      <xdr:rowOff>147053</xdr:rowOff>
    </xdr:to>
    <xdr:sp macro="" textlink="">
      <xdr:nvSpPr>
        <xdr:cNvPr id="21" name="Rectangle 20">
          <a:extLst>
            <a:ext uri="{FF2B5EF4-FFF2-40B4-BE49-F238E27FC236}">
              <a16:creationId xmlns:a16="http://schemas.microsoft.com/office/drawing/2014/main" id="{CE8926C7-0505-2253-C68F-9B23270071B6}"/>
            </a:ext>
          </a:extLst>
        </xdr:cNvPr>
        <xdr:cNvSpPr/>
      </xdr:nvSpPr>
      <xdr:spPr>
        <a:xfrm>
          <a:off x="2794000" y="2753895"/>
          <a:ext cx="1564106" cy="762000"/>
        </a:xfrm>
        <a:prstGeom prst="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2">
                  <a:lumMod val="90000"/>
                  <a:lumOff val="10000"/>
                </a:schemeClr>
              </a:solidFill>
              <a:latin typeface="Aptos" panose="020B0004020202020204" pitchFamily="34" charset="0"/>
            </a:rPr>
            <a:t>Analytics</a:t>
          </a:r>
        </a:p>
      </xdr:txBody>
    </xdr:sp>
    <xdr:clientData/>
  </xdr:twoCellAnchor>
  <xdr:twoCellAnchor>
    <xdr:from>
      <xdr:col>3</xdr:col>
      <xdr:colOff>80211</xdr:colOff>
      <xdr:row>18</xdr:row>
      <xdr:rowOff>120316</xdr:rowOff>
    </xdr:from>
    <xdr:to>
      <xdr:col>8</xdr:col>
      <xdr:colOff>441158</xdr:colOff>
      <xdr:row>24</xdr:row>
      <xdr:rowOff>133684</xdr:rowOff>
    </xdr:to>
    <xdr:sp macro="" textlink="">
      <xdr:nvSpPr>
        <xdr:cNvPr id="22" name="Rectangle: Rounded Corners 21">
          <a:extLst>
            <a:ext uri="{FF2B5EF4-FFF2-40B4-BE49-F238E27FC236}">
              <a16:creationId xmlns:a16="http://schemas.microsoft.com/office/drawing/2014/main" id="{83014A9D-390F-1AE7-193E-764002B7ACF1}"/>
            </a:ext>
          </a:extLst>
        </xdr:cNvPr>
        <xdr:cNvSpPr/>
      </xdr:nvSpPr>
      <xdr:spPr>
        <a:xfrm>
          <a:off x="1925053" y="3489158"/>
          <a:ext cx="3435684" cy="1136315"/>
        </a:xfrm>
        <a:prstGeom prst="roundRect">
          <a:avLst/>
        </a:prstGeom>
        <a:solidFill>
          <a:schemeClr val="accent3">
            <a:lumMod val="75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60030</xdr:colOff>
      <xdr:row>18</xdr:row>
      <xdr:rowOff>95183</xdr:rowOff>
    </xdr:from>
    <xdr:to>
      <xdr:col>14</xdr:col>
      <xdr:colOff>401058</xdr:colOff>
      <xdr:row>24</xdr:row>
      <xdr:rowOff>108551</xdr:rowOff>
    </xdr:to>
    <xdr:sp macro="" textlink="">
      <xdr:nvSpPr>
        <xdr:cNvPr id="24" name="Rectangle: Rounded Corners 23">
          <a:extLst>
            <a:ext uri="{FF2B5EF4-FFF2-40B4-BE49-F238E27FC236}">
              <a16:creationId xmlns:a16="http://schemas.microsoft.com/office/drawing/2014/main" id="{FCDF399E-0C7D-4D31-9EB3-B58B410ABB39}"/>
            </a:ext>
          </a:extLst>
        </xdr:cNvPr>
        <xdr:cNvSpPr/>
      </xdr:nvSpPr>
      <xdr:spPr>
        <a:xfrm>
          <a:off x="5594556" y="3464025"/>
          <a:ext cx="3415765" cy="1136315"/>
        </a:xfrm>
        <a:prstGeom prst="roundRect">
          <a:avLst/>
        </a:prstGeom>
        <a:solidFill>
          <a:schemeClr val="accent5">
            <a:lumMod val="75000"/>
          </a:schemeClr>
        </a:solid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307475</xdr:colOff>
      <xdr:row>18</xdr:row>
      <xdr:rowOff>160421</xdr:rowOff>
    </xdr:from>
    <xdr:to>
      <xdr:col>8</xdr:col>
      <xdr:colOff>360948</xdr:colOff>
      <xdr:row>24</xdr:row>
      <xdr:rowOff>106949</xdr:rowOff>
    </xdr:to>
    <xdr:sp macro="" textlink="">
      <xdr:nvSpPr>
        <xdr:cNvPr id="25" name="Rectangle: Rounded Corners 24">
          <a:extLst>
            <a:ext uri="{FF2B5EF4-FFF2-40B4-BE49-F238E27FC236}">
              <a16:creationId xmlns:a16="http://schemas.microsoft.com/office/drawing/2014/main" id="{C02FABEA-FA67-BCA9-E7EE-A0D3026E7772}"/>
            </a:ext>
          </a:extLst>
        </xdr:cNvPr>
        <xdr:cNvSpPr/>
      </xdr:nvSpPr>
      <xdr:spPr>
        <a:xfrm>
          <a:off x="2152317" y="3529263"/>
          <a:ext cx="3128210" cy="1069475"/>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273919</xdr:colOff>
      <xdr:row>18</xdr:row>
      <xdr:rowOff>135289</xdr:rowOff>
    </xdr:from>
    <xdr:to>
      <xdr:col>14</xdr:col>
      <xdr:colOff>327392</xdr:colOff>
      <xdr:row>24</xdr:row>
      <xdr:rowOff>81817</xdr:rowOff>
    </xdr:to>
    <xdr:sp macro="" textlink="">
      <xdr:nvSpPr>
        <xdr:cNvPr id="27" name="Rectangle: Rounded Corners 26">
          <a:extLst>
            <a:ext uri="{FF2B5EF4-FFF2-40B4-BE49-F238E27FC236}">
              <a16:creationId xmlns:a16="http://schemas.microsoft.com/office/drawing/2014/main" id="{2A1204C9-9287-45E2-8C97-5E31D557A042}"/>
            </a:ext>
          </a:extLst>
        </xdr:cNvPr>
        <xdr:cNvSpPr/>
      </xdr:nvSpPr>
      <xdr:spPr>
        <a:xfrm>
          <a:off x="5808445" y="3504131"/>
          <a:ext cx="3128210" cy="1069475"/>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561473</xdr:colOff>
      <xdr:row>19</xdr:row>
      <xdr:rowOff>53473</xdr:rowOff>
    </xdr:from>
    <xdr:to>
      <xdr:col>11</xdr:col>
      <xdr:colOff>245978</xdr:colOff>
      <xdr:row>24</xdr:row>
      <xdr:rowOff>32084</xdr:rowOff>
    </xdr:to>
    <xdr:pic>
      <xdr:nvPicPr>
        <xdr:cNvPr id="29" name="Graphic 28" descr="Business Growth with solid fill">
          <a:extLst>
            <a:ext uri="{FF2B5EF4-FFF2-40B4-BE49-F238E27FC236}">
              <a16:creationId xmlns:a16="http://schemas.microsoft.com/office/drawing/2014/main" id="{0E7A5D3A-94F7-263D-493D-CE355057D5D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95999" y="3609473"/>
          <a:ext cx="914400" cy="914400"/>
        </a:xfrm>
        <a:prstGeom prst="rect">
          <a:avLst/>
        </a:prstGeom>
      </xdr:spPr>
    </xdr:pic>
    <xdr:clientData/>
  </xdr:twoCellAnchor>
  <xdr:twoCellAnchor editAs="oneCell">
    <xdr:from>
      <xdr:col>3</xdr:col>
      <xdr:colOff>481263</xdr:colOff>
      <xdr:row>19</xdr:row>
      <xdr:rowOff>120316</xdr:rowOff>
    </xdr:from>
    <xdr:to>
      <xdr:col>4</xdr:col>
      <xdr:colOff>414421</xdr:colOff>
      <xdr:row>23</xdr:row>
      <xdr:rowOff>106947</xdr:rowOff>
    </xdr:to>
    <xdr:pic>
      <xdr:nvPicPr>
        <xdr:cNvPr id="35" name="Picture 34">
          <a:extLst>
            <a:ext uri="{FF2B5EF4-FFF2-40B4-BE49-F238E27FC236}">
              <a16:creationId xmlns:a16="http://schemas.microsoft.com/office/drawing/2014/main" id="{F325BF59-5C00-A909-0721-C309BA9067FB}"/>
            </a:ext>
          </a:extLst>
        </xdr:cNvPr>
        <xdr:cNvPicPr>
          <a:picLocks noChangeAspect="1"/>
        </xdr:cNvPicPr>
      </xdr:nvPicPr>
      <xdr:blipFill>
        <a:blip xmlns:r="http://schemas.openxmlformats.org/officeDocument/2006/relationships" r:embed="rId9"/>
        <a:stretch>
          <a:fillRect/>
        </a:stretch>
      </xdr:blipFill>
      <xdr:spPr>
        <a:xfrm>
          <a:off x="2326105" y="3676316"/>
          <a:ext cx="548105" cy="735263"/>
        </a:xfrm>
        <a:prstGeom prst="rect">
          <a:avLst/>
        </a:prstGeom>
      </xdr:spPr>
    </xdr:pic>
    <xdr:clientData/>
  </xdr:twoCellAnchor>
  <xdr:twoCellAnchor>
    <xdr:from>
      <xdr:col>14</xdr:col>
      <xdr:colOff>494631</xdr:colOff>
      <xdr:row>13</xdr:row>
      <xdr:rowOff>179536</xdr:rowOff>
    </xdr:from>
    <xdr:to>
      <xdr:col>23</xdr:col>
      <xdr:colOff>320842</xdr:colOff>
      <xdr:row>28</xdr:row>
      <xdr:rowOff>53473</xdr:rowOff>
    </xdr:to>
    <xdr:sp macro="" textlink="">
      <xdr:nvSpPr>
        <xdr:cNvPr id="36" name="Rectangle 35">
          <a:extLst>
            <a:ext uri="{FF2B5EF4-FFF2-40B4-BE49-F238E27FC236}">
              <a16:creationId xmlns:a16="http://schemas.microsoft.com/office/drawing/2014/main" id="{C56EB402-C8AC-960C-DBB4-99E995DEC2A2}"/>
            </a:ext>
          </a:extLst>
        </xdr:cNvPr>
        <xdr:cNvSpPr/>
      </xdr:nvSpPr>
      <xdr:spPr>
        <a:xfrm>
          <a:off x="9103894" y="2612589"/>
          <a:ext cx="5360737" cy="268130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581399</xdr:colOff>
      <xdr:row>25</xdr:row>
      <xdr:rowOff>108556</xdr:rowOff>
    </xdr:from>
    <xdr:to>
      <xdr:col>14</xdr:col>
      <xdr:colOff>347579</xdr:colOff>
      <xdr:row>44</xdr:row>
      <xdr:rowOff>26741</xdr:rowOff>
    </xdr:to>
    <xdr:sp macro="" textlink="">
      <xdr:nvSpPr>
        <xdr:cNvPr id="39" name="Rectangle 38">
          <a:extLst>
            <a:ext uri="{FF2B5EF4-FFF2-40B4-BE49-F238E27FC236}">
              <a16:creationId xmlns:a16="http://schemas.microsoft.com/office/drawing/2014/main" id="{34DF3EC9-829B-4DDF-ACDC-58D4277066A3}"/>
            </a:ext>
          </a:extLst>
        </xdr:cNvPr>
        <xdr:cNvSpPr/>
      </xdr:nvSpPr>
      <xdr:spPr>
        <a:xfrm>
          <a:off x="1811294" y="4787503"/>
          <a:ext cx="7145548" cy="347418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501182</xdr:colOff>
      <xdr:row>28</xdr:row>
      <xdr:rowOff>135289</xdr:rowOff>
    </xdr:from>
    <xdr:to>
      <xdr:col>23</xdr:col>
      <xdr:colOff>327393</xdr:colOff>
      <xdr:row>44</xdr:row>
      <xdr:rowOff>0</xdr:rowOff>
    </xdr:to>
    <xdr:sp macro="" textlink="">
      <xdr:nvSpPr>
        <xdr:cNvPr id="43" name="Rectangle 42">
          <a:extLst>
            <a:ext uri="{FF2B5EF4-FFF2-40B4-BE49-F238E27FC236}">
              <a16:creationId xmlns:a16="http://schemas.microsoft.com/office/drawing/2014/main" id="{31FAE720-9A55-434F-A71B-EE11A9E0EA3E}"/>
            </a:ext>
          </a:extLst>
        </xdr:cNvPr>
        <xdr:cNvSpPr/>
      </xdr:nvSpPr>
      <xdr:spPr>
        <a:xfrm>
          <a:off x="9110445" y="5375710"/>
          <a:ext cx="5360737" cy="285923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534113</xdr:colOff>
      <xdr:row>14</xdr:row>
      <xdr:rowOff>21365</xdr:rowOff>
    </xdr:from>
    <xdr:to>
      <xdr:col>18</xdr:col>
      <xdr:colOff>562598</xdr:colOff>
      <xdr:row>16</xdr:row>
      <xdr:rowOff>78337</xdr:rowOff>
    </xdr:to>
    <xdr:sp macro="" textlink="">
      <xdr:nvSpPr>
        <xdr:cNvPr id="46" name="Rectangle 45">
          <a:extLst>
            <a:ext uri="{FF2B5EF4-FFF2-40B4-BE49-F238E27FC236}">
              <a16:creationId xmlns:a16="http://schemas.microsoft.com/office/drawing/2014/main" id="{EB295B02-45CA-B0E7-695E-75529C2E60F0}"/>
            </a:ext>
          </a:extLst>
        </xdr:cNvPr>
        <xdr:cNvSpPr/>
      </xdr:nvSpPr>
      <xdr:spPr>
        <a:xfrm>
          <a:off x="9108393" y="2613589"/>
          <a:ext cx="2478280" cy="42729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2">
                  <a:lumMod val="90000"/>
                  <a:lumOff val="10000"/>
                </a:schemeClr>
              </a:solidFill>
            </a:rPr>
            <a:t>SALES</a:t>
          </a:r>
          <a:r>
            <a:rPr lang="en-IN" sz="1400" b="1" baseline="0">
              <a:solidFill>
                <a:schemeClr val="tx2">
                  <a:lumMod val="90000"/>
                  <a:lumOff val="10000"/>
                </a:schemeClr>
              </a:solidFill>
            </a:rPr>
            <a:t> BY MONTH</a:t>
          </a:r>
          <a:endParaRPr lang="en-IN" sz="1400" b="1">
            <a:solidFill>
              <a:schemeClr val="tx2">
                <a:lumMod val="90000"/>
                <a:lumOff val="10000"/>
              </a:schemeClr>
            </a:solidFill>
          </a:endParaRPr>
        </a:p>
      </xdr:txBody>
    </xdr:sp>
    <xdr:clientData/>
  </xdr:twoCellAnchor>
  <xdr:twoCellAnchor>
    <xdr:from>
      <xdr:col>2</xdr:col>
      <xdr:colOff>583627</xdr:colOff>
      <xdr:row>25</xdr:row>
      <xdr:rowOff>169333</xdr:rowOff>
    </xdr:from>
    <xdr:to>
      <xdr:col>6</xdr:col>
      <xdr:colOff>612112</xdr:colOff>
      <xdr:row>28</xdr:row>
      <xdr:rowOff>166642</xdr:rowOff>
    </xdr:to>
    <xdr:sp macro="" textlink="">
      <xdr:nvSpPr>
        <xdr:cNvPr id="49" name="Rectangle 48">
          <a:extLst>
            <a:ext uri="{FF2B5EF4-FFF2-40B4-BE49-F238E27FC236}">
              <a16:creationId xmlns:a16="http://schemas.microsoft.com/office/drawing/2014/main" id="{D8597A46-0B6C-4EA7-84F0-F641F7F630FE}"/>
            </a:ext>
          </a:extLst>
        </xdr:cNvPr>
        <xdr:cNvSpPr/>
      </xdr:nvSpPr>
      <xdr:spPr>
        <a:xfrm>
          <a:off x="1811294" y="4667250"/>
          <a:ext cx="2483818" cy="53705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2">
                  <a:lumMod val="90000"/>
                  <a:lumOff val="10000"/>
                </a:schemeClr>
              </a:solidFill>
              <a:latin typeface="Aptos" panose="020B0004020202020204" pitchFamily="34" charset="0"/>
            </a:rPr>
            <a:t>SALES</a:t>
          </a:r>
          <a:r>
            <a:rPr lang="en-IN" sz="1600" b="1" baseline="0">
              <a:solidFill>
                <a:schemeClr val="tx2">
                  <a:lumMod val="90000"/>
                  <a:lumOff val="10000"/>
                </a:schemeClr>
              </a:solidFill>
              <a:latin typeface="Aptos" panose="020B0004020202020204" pitchFamily="34" charset="0"/>
            </a:rPr>
            <a:t> BY PRODUCTS</a:t>
          </a:r>
          <a:endParaRPr lang="en-IN" sz="1600" b="1">
            <a:solidFill>
              <a:schemeClr val="tx2">
                <a:lumMod val="90000"/>
                <a:lumOff val="10000"/>
              </a:schemeClr>
            </a:solidFill>
            <a:latin typeface="Aptos" panose="020B0004020202020204" pitchFamily="34" charset="0"/>
          </a:endParaRPr>
        </a:p>
      </xdr:txBody>
    </xdr:sp>
    <xdr:clientData/>
  </xdr:twoCellAnchor>
  <xdr:twoCellAnchor>
    <xdr:from>
      <xdr:col>14</xdr:col>
      <xdr:colOff>486834</xdr:colOff>
      <xdr:row>15</xdr:row>
      <xdr:rowOff>148167</xdr:rowOff>
    </xdr:from>
    <xdr:to>
      <xdr:col>23</xdr:col>
      <xdr:colOff>285750</xdr:colOff>
      <xdr:row>28</xdr:row>
      <xdr:rowOff>42333</xdr:rowOff>
    </xdr:to>
    <xdr:graphicFrame macro="">
      <xdr:nvGraphicFramePr>
        <xdr:cNvPr id="28" name="Chart 27">
          <a:extLst>
            <a:ext uri="{FF2B5EF4-FFF2-40B4-BE49-F238E27FC236}">
              <a16:creationId xmlns:a16="http://schemas.microsoft.com/office/drawing/2014/main" id="{E82A4D16-D9CF-4F3F-B683-89DE5D9AC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562461</xdr:colOff>
      <xdr:row>27</xdr:row>
      <xdr:rowOff>99081</xdr:rowOff>
    </xdr:from>
    <xdr:to>
      <xdr:col>14</xdr:col>
      <xdr:colOff>359833</xdr:colOff>
      <xdr:row>44</xdr:row>
      <xdr:rowOff>31750</xdr:rowOff>
    </xdr:to>
    <xdr:graphicFrame macro="">
      <xdr:nvGraphicFramePr>
        <xdr:cNvPr id="31" name="Chart 30">
          <a:extLst>
            <a:ext uri="{FF2B5EF4-FFF2-40B4-BE49-F238E27FC236}">
              <a16:creationId xmlns:a16="http://schemas.microsoft.com/office/drawing/2014/main" id="{F1761EEB-CAED-4055-BB9E-A7E9385AB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603250</xdr:colOff>
      <xdr:row>29</xdr:row>
      <xdr:rowOff>42334</xdr:rowOff>
    </xdr:from>
    <xdr:to>
      <xdr:col>18</xdr:col>
      <xdr:colOff>10584</xdr:colOff>
      <xdr:row>31</xdr:row>
      <xdr:rowOff>158750</xdr:rowOff>
    </xdr:to>
    <xdr:sp macro="" textlink="">
      <xdr:nvSpPr>
        <xdr:cNvPr id="32" name="Rectangle 31">
          <a:extLst>
            <a:ext uri="{FF2B5EF4-FFF2-40B4-BE49-F238E27FC236}">
              <a16:creationId xmlns:a16="http://schemas.microsoft.com/office/drawing/2014/main" id="{B78158FE-FBE5-F6CC-87D8-E1694E721209}"/>
            </a:ext>
          </a:extLst>
        </xdr:cNvPr>
        <xdr:cNvSpPr/>
      </xdr:nvSpPr>
      <xdr:spPr>
        <a:xfrm>
          <a:off x="9196917" y="5259917"/>
          <a:ext cx="1862667" cy="4762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2">
                  <a:lumMod val="90000"/>
                  <a:lumOff val="10000"/>
                </a:schemeClr>
              </a:solidFill>
              <a:latin typeface="Aptos Narrow" panose="020B0004020202020204" pitchFamily="34" charset="0"/>
              <a:cs typeface="Arial" panose="020B0604020202020204" pitchFamily="34" charset="0"/>
            </a:rPr>
            <a:t>SALES</a:t>
          </a:r>
          <a:r>
            <a:rPr lang="en-IN" sz="1400" b="1" baseline="0">
              <a:solidFill>
                <a:schemeClr val="tx2">
                  <a:lumMod val="90000"/>
                  <a:lumOff val="10000"/>
                </a:schemeClr>
              </a:solidFill>
              <a:latin typeface="Aptos Narrow" panose="020B0004020202020204" pitchFamily="34" charset="0"/>
              <a:cs typeface="Arial" panose="020B0604020202020204" pitchFamily="34" charset="0"/>
            </a:rPr>
            <a:t> BY PLACE</a:t>
          </a:r>
          <a:endParaRPr lang="en-IN" sz="1400" b="1">
            <a:solidFill>
              <a:schemeClr val="tx2">
                <a:lumMod val="90000"/>
                <a:lumOff val="10000"/>
              </a:schemeClr>
            </a:solidFill>
            <a:latin typeface="Aptos Narrow" panose="020B0004020202020204" pitchFamily="34" charset="0"/>
            <a:cs typeface="Arial" panose="020B0604020202020204" pitchFamily="34" charset="0"/>
          </a:endParaRPr>
        </a:p>
      </xdr:txBody>
    </xdr:sp>
    <xdr:clientData/>
  </xdr:twoCellAnchor>
  <xdr:twoCellAnchor>
    <xdr:from>
      <xdr:col>14</xdr:col>
      <xdr:colOff>486833</xdr:colOff>
      <xdr:row>30</xdr:row>
      <xdr:rowOff>148168</xdr:rowOff>
    </xdr:from>
    <xdr:to>
      <xdr:col>23</xdr:col>
      <xdr:colOff>349250</xdr:colOff>
      <xdr:row>44</xdr:row>
      <xdr:rowOff>1</xdr:rowOff>
    </xdr:to>
    <xdr:graphicFrame macro="">
      <xdr:nvGraphicFramePr>
        <xdr:cNvPr id="34" name="Chart 33">
          <a:extLst>
            <a:ext uri="{FF2B5EF4-FFF2-40B4-BE49-F238E27FC236}">
              <a16:creationId xmlns:a16="http://schemas.microsoft.com/office/drawing/2014/main" id="{C74D3BEC-0CAB-426A-9F47-6AC3338BF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402167</xdr:colOff>
      <xdr:row>20</xdr:row>
      <xdr:rowOff>167640</xdr:rowOff>
    </xdr:from>
    <xdr:to>
      <xdr:col>8</xdr:col>
      <xdr:colOff>285750</xdr:colOff>
      <xdr:row>24</xdr:row>
      <xdr:rowOff>52917</xdr:rowOff>
    </xdr:to>
    <xdr:sp macro="" textlink="">
      <xdr:nvSpPr>
        <xdr:cNvPr id="37" name="Rectangle 36">
          <a:extLst>
            <a:ext uri="{FF2B5EF4-FFF2-40B4-BE49-F238E27FC236}">
              <a16:creationId xmlns:a16="http://schemas.microsoft.com/office/drawing/2014/main" id="{CC15D410-CC88-0D96-41C4-9EAD078D68B9}"/>
            </a:ext>
          </a:extLst>
        </xdr:cNvPr>
        <xdr:cNvSpPr/>
      </xdr:nvSpPr>
      <xdr:spPr>
        <a:xfrm>
          <a:off x="2840567" y="3825240"/>
          <a:ext cx="2321983" cy="61679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b="1" i="0" u="none" strike="noStrike">
              <a:solidFill>
                <a:schemeClr val="tx2">
                  <a:lumMod val="90000"/>
                  <a:lumOff val="10000"/>
                </a:schemeClr>
              </a:solidFill>
              <a:effectLst/>
              <a:latin typeface="+mn-lt"/>
              <a:ea typeface="+mn-ea"/>
              <a:cs typeface="+mn-cs"/>
            </a:rPr>
            <a:t>92,61,386</a:t>
          </a:r>
          <a:r>
            <a:rPr lang="en-IN" sz="3600" b="1">
              <a:solidFill>
                <a:schemeClr val="tx2">
                  <a:lumMod val="90000"/>
                  <a:lumOff val="10000"/>
                </a:schemeClr>
              </a:solidFill>
              <a:effectLst/>
            </a:rPr>
            <a:t> </a:t>
          </a:r>
          <a:endParaRPr lang="en-IN" sz="3600" b="1">
            <a:solidFill>
              <a:schemeClr val="tx2">
                <a:lumMod val="90000"/>
                <a:lumOff val="10000"/>
              </a:schemeClr>
            </a:solidFill>
          </a:endParaRPr>
        </a:p>
      </xdr:txBody>
    </xdr:sp>
    <xdr:clientData/>
  </xdr:twoCellAnchor>
  <xdr:twoCellAnchor>
    <xdr:from>
      <xdr:col>11</xdr:col>
      <xdr:colOff>269975</xdr:colOff>
      <xdr:row>20</xdr:row>
      <xdr:rowOff>163183</xdr:rowOff>
    </xdr:from>
    <xdr:to>
      <xdr:col>14</xdr:col>
      <xdr:colOff>38947</xdr:colOff>
      <xdr:row>24</xdr:row>
      <xdr:rowOff>423</xdr:rowOff>
    </xdr:to>
    <xdr:sp macro="" textlink="">
      <xdr:nvSpPr>
        <xdr:cNvPr id="40" name="Rectangle 39">
          <a:extLst>
            <a:ext uri="{FF2B5EF4-FFF2-40B4-BE49-F238E27FC236}">
              <a16:creationId xmlns:a16="http://schemas.microsoft.com/office/drawing/2014/main" id="{86E3A509-4447-453B-A306-08CA3FA74616}"/>
            </a:ext>
          </a:extLst>
        </xdr:cNvPr>
        <xdr:cNvSpPr/>
      </xdr:nvSpPr>
      <xdr:spPr>
        <a:xfrm>
          <a:off x="6975575" y="3820783"/>
          <a:ext cx="1597772" cy="5687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chemeClr val="tx2">
                  <a:lumMod val="90000"/>
                  <a:lumOff val="10000"/>
                </a:schemeClr>
              </a:solidFill>
            </a:rPr>
            <a:t>351</a:t>
          </a:r>
        </a:p>
      </xdr:txBody>
    </xdr:sp>
    <xdr:clientData/>
  </xdr:twoCellAnchor>
  <xdr:twoCellAnchor>
    <xdr:from>
      <xdr:col>5</xdr:col>
      <xdr:colOff>94917</xdr:colOff>
      <xdr:row>19</xdr:row>
      <xdr:rowOff>15240</xdr:rowOff>
    </xdr:from>
    <xdr:to>
      <xdr:col>7</xdr:col>
      <xdr:colOff>473489</xdr:colOff>
      <xdr:row>21</xdr:row>
      <xdr:rowOff>0</xdr:rowOff>
    </xdr:to>
    <xdr:sp macro="" textlink="">
      <xdr:nvSpPr>
        <xdr:cNvPr id="6" name="Rectangle 5">
          <a:extLst>
            <a:ext uri="{FF2B5EF4-FFF2-40B4-BE49-F238E27FC236}">
              <a16:creationId xmlns:a16="http://schemas.microsoft.com/office/drawing/2014/main" id="{E00216A7-D24B-4FD8-BD60-9E60C8FEA58C}"/>
            </a:ext>
          </a:extLst>
        </xdr:cNvPr>
        <xdr:cNvSpPr/>
      </xdr:nvSpPr>
      <xdr:spPr>
        <a:xfrm>
          <a:off x="3142917" y="3489960"/>
          <a:ext cx="1597772" cy="3505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3"/>
              </a:solidFill>
            </a:rPr>
            <a:t>Total</a:t>
          </a:r>
          <a:r>
            <a:rPr lang="en-IN" sz="2000" b="1" baseline="0">
              <a:solidFill>
                <a:schemeClr val="accent3"/>
              </a:solidFill>
            </a:rPr>
            <a:t> Amount</a:t>
          </a:r>
          <a:endParaRPr lang="en-IN" sz="2000" b="1">
            <a:solidFill>
              <a:schemeClr val="accent3"/>
            </a:solidFill>
          </a:endParaRPr>
        </a:p>
      </xdr:txBody>
    </xdr:sp>
    <xdr:clientData/>
  </xdr:twoCellAnchor>
  <xdr:twoCellAnchor>
    <xdr:from>
      <xdr:col>11</xdr:col>
      <xdr:colOff>182880</xdr:colOff>
      <xdr:row>19</xdr:row>
      <xdr:rowOff>30480</xdr:rowOff>
    </xdr:from>
    <xdr:to>
      <xdr:col>13</xdr:col>
      <xdr:colOff>561452</xdr:colOff>
      <xdr:row>21</xdr:row>
      <xdr:rowOff>15240</xdr:rowOff>
    </xdr:to>
    <xdr:sp macro="" textlink="">
      <xdr:nvSpPr>
        <xdr:cNvPr id="8" name="Rectangle 7">
          <a:extLst>
            <a:ext uri="{FF2B5EF4-FFF2-40B4-BE49-F238E27FC236}">
              <a16:creationId xmlns:a16="http://schemas.microsoft.com/office/drawing/2014/main" id="{68ACAF5C-9E65-4370-BDB6-D19DC64AC081}"/>
            </a:ext>
          </a:extLst>
        </xdr:cNvPr>
        <xdr:cNvSpPr/>
      </xdr:nvSpPr>
      <xdr:spPr>
        <a:xfrm>
          <a:off x="6888480" y="3505200"/>
          <a:ext cx="1597772" cy="3505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accent5"/>
              </a:solidFill>
            </a:rPr>
            <a:t>Total</a:t>
          </a:r>
          <a:r>
            <a:rPr lang="en-IN" sz="2000" b="1" baseline="0">
              <a:solidFill>
                <a:schemeClr val="accent5"/>
              </a:solidFill>
            </a:rPr>
            <a:t> Sales</a:t>
          </a:r>
          <a:endParaRPr lang="en-IN" sz="2000" b="1">
            <a:solidFill>
              <a:schemeClr val="accent5"/>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268825</xdr:colOff>
      <xdr:row>45</xdr:row>
      <xdr:rowOff>161420</xdr:rowOff>
    </xdr:to>
    <xdr:sp macro="" textlink="">
      <xdr:nvSpPr>
        <xdr:cNvPr id="2" name="Rectangle: Rounded Corners 1">
          <a:extLst>
            <a:ext uri="{FF2B5EF4-FFF2-40B4-BE49-F238E27FC236}">
              <a16:creationId xmlns:a16="http://schemas.microsoft.com/office/drawing/2014/main" id="{D6F803BC-8B23-492A-B7AC-EFF135A1A201}"/>
            </a:ext>
          </a:extLst>
        </xdr:cNvPr>
        <xdr:cNvSpPr/>
      </xdr:nvSpPr>
      <xdr:spPr>
        <a:xfrm>
          <a:off x="0" y="0"/>
          <a:ext cx="14289625" cy="8391020"/>
        </a:xfrm>
        <a:prstGeom prst="roundRect">
          <a:avLst>
            <a:gd name="adj" fmla="val 1696"/>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260481</xdr:colOff>
      <xdr:row>0</xdr:row>
      <xdr:rowOff>60960</xdr:rowOff>
    </xdr:from>
    <xdr:to>
      <xdr:col>23</xdr:col>
      <xdr:colOff>201984</xdr:colOff>
      <xdr:row>45</xdr:row>
      <xdr:rowOff>83665</xdr:rowOff>
    </xdr:to>
    <xdr:sp macro="" textlink="">
      <xdr:nvSpPr>
        <xdr:cNvPr id="3" name="Rectangle: Rounded Corners 2">
          <a:extLst>
            <a:ext uri="{FF2B5EF4-FFF2-40B4-BE49-F238E27FC236}">
              <a16:creationId xmlns:a16="http://schemas.microsoft.com/office/drawing/2014/main" id="{1A6D2DAD-463E-4E77-859D-36B6C091C486}"/>
            </a:ext>
          </a:extLst>
        </xdr:cNvPr>
        <xdr:cNvSpPr/>
      </xdr:nvSpPr>
      <xdr:spPr>
        <a:xfrm>
          <a:off x="1479681" y="60960"/>
          <a:ext cx="12743103" cy="8252305"/>
        </a:xfrm>
        <a:prstGeom prst="roundRect">
          <a:avLst>
            <a:gd name="adj" fmla="val 796"/>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101066</xdr:colOff>
      <xdr:row>10</xdr:row>
      <xdr:rowOff>134777</xdr:rowOff>
    </xdr:from>
    <xdr:to>
      <xdr:col>2</xdr:col>
      <xdr:colOff>216766</xdr:colOff>
      <xdr:row>12</xdr:row>
      <xdr:rowOff>149862</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374F9D26-1930-4CA2-90D6-9718AA4CA744}"/>
            </a:ext>
          </a:extLst>
        </xdr:cNvPr>
        <xdr:cNvSpPr/>
      </xdr:nvSpPr>
      <xdr:spPr>
        <a:xfrm>
          <a:off x="101066" y="1963577"/>
          <a:ext cx="1334900" cy="380845"/>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latin typeface="Aptos" panose="020B0004020202020204" pitchFamily="34" charset="0"/>
            </a:rPr>
            <a:t>DASHBOARD</a:t>
          </a:r>
        </a:p>
      </xdr:txBody>
    </xdr:sp>
    <xdr:clientData/>
  </xdr:twoCellAnchor>
  <xdr:twoCellAnchor>
    <xdr:from>
      <xdr:col>0</xdr:col>
      <xdr:colOff>51336</xdr:colOff>
      <xdr:row>20</xdr:row>
      <xdr:rowOff>24914</xdr:rowOff>
    </xdr:from>
    <xdr:to>
      <xdr:col>2</xdr:col>
      <xdr:colOff>167036</xdr:colOff>
      <xdr:row>22</xdr:row>
      <xdr:rowOff>39998</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C7751754-A93D-41D0-B64A-9A466F4BA0E5}"/>
            </a:ext>
          </a:extLst>
        </xdr:cNvPr>
        <xdr:cNvSpPr/>
      </xdr:nvSpPr>
      <xdr:spPr>
        <a:xfrm>
          <a:off x="51336" y="3682514"/>
          <a:ext cx="1334900" cy="380844"/>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Aptos" panose="020B0004020202020204" pitchFamily="34" charset="0"/>
            </a:rPr>
            <a:t>ABOUT</a:t>
          </a:r>
        </a:p>
      </xdr:txBody>
    </xdr:sp>
    <xdr:clientData/>
  </xdr:twoCellAnchor>
  <xdr:twoCellAnchor>
    <xdr:from>
      <xdr:col>0</xdr:col>
      <xdr:colOff>70452</xdr:colOff>
      <xdr:row>16</xdr:row>
      <xdr:rowOff>164525</xdr:rowOff>
    </xdr:from>
    <xdr:to>
      <xdr:col>2</xdr:col>
      <xdr:colOff>186152</xdr:colOff>
      <xdr:row>18</xdr:row>
      <xdr:rowOff>179608</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D3D28671-9A41-4ACC-90C4-2BC61DC9EB92}"/>
            </a:ext>
          </a:extLst>
        </xdr:cNvPr>
        <xdr:cNvSpPr/>
      </xdr:nvSpPr>
      <xdr:spPr>
        <a:xfrm>
          <a:off x="70452" y="3090605"/>
          <a:ext cx="1334900" cy="380843"/>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Aptos" panose="020B0004020202020204" pitchFamily="34" charset="0"/>
            </a:rPr>
            <a:t>SALESMANS</a:t>
          </a:r>
        </a:p>
      </xdr:txBody>
    </xdr:sp>
    <xdr:clientData/>
  </xdr:twoCellAnchor>
  <xdr:twoCellAnchor>
    <xdr:from>
      <xdr:col>0</xdr:col>
      <xdr:colOff>76201</xdr:colOff>
      <xdr:row>13</xdr:row>
      <xdr:rowOff>122713</xdr:rowOff>
    </xdr:from>
    <xdr:to>
      <xdr:col>2</xdr:col>
      <xdr:colOff>191901</xdr:colOff>
      <xdr:row>15</xdr:row>
      <xdr:rowOff>142077</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515783F4-26E1-4428-B7CC-B6A86A007D3E}"/>
            </a:ext>
          </a:extLst>
        </xdr:cNvPr>
        <xdr:cNvSpPr/>
      </xdr:nvSpPr>
      <xdr:spPr>
        <a:xfrm>
          <a:off x="76201" y="2500153"/>
          <a:ext cx="1334900" cy="385124"/>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latin typeface="Aptos" panose="020B0004020202020204" pitchFamily="34" charset="0"/>
            </a:rPr>
            <a:t>PRODUCTS</a:t>
          </a:r>
        </a:p>
      </xdr:txBody>
    </xdr:sp>
    <xdr:clientData/>
  </xdr:twoCellAnchor>
  <xdr:twoCellAnchor editAs="oneCell">
    <xdr:from>
      <xdr:col>2</xdr:col>
      <xdr:colOff>397641</xdr:colOff>
      <xdr:row>0</xdr:row>
      <xdr:rowOff>148512</xdr:rowOff>
    </xdr:from>
    <xdr:to>
      <xdr:col>12</xdr:col>
      <xdr:colOff>441633</xdr:colOff>
      <xdr:row>8</xdr:row>
      <xdr:rowOff>83198</xdr:rowOff>
    </xdr:to>
    <mc:AlternateContent xmlns:mc="http://schemas.openxmlformats.org/markup-compatibility/2006" xmlns:tsle="http://schemas.microsoft.com/office/drawing/2012/timeslicer">
      <mc:Choice Requires="tsle">
        <xdr:graphicFrame macro="">
          <xdr:nvGraphicFramePr>
            <xdr:cNvPr id="8" name="Date 3">
              <a:extLst>
                <a:ext uri="{FF2B5EF4-FFF2-40B4-BE49-F238E27FC236}">
                  <a16:creationId xmlns:a16="http://schemas.microsoft.com/office/drawing/2014/main" id="{84A87FA1-59EC-4146-A30A-2FB6EF687EB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624275" y="148512"/>
              <a:ext cx="6177163" cy="14215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540949</xdr:colOff>
      <xdr:row>0</xdr:row>
      <xdr:rowOff>148512</xdr:rowOff>
    </xdr:from>
    <xdr:to>
      <xdr:col>23</xdr:col>
      <xdr:colOff>121773</xdr:colOff>
      <xdr:row>8</xdr:row>
      <xdr:rowOff>75578</xdr:rowOff>
    </xdr:to>
    <mc:AlternateContent xmlns:mc="http://schemas.openxmlformats.org/markup-compatibility/2006" xmlns:a14="http://schemas.microsoft.com/office/drawing/2010/main">
      <mc:Choice Requires="a14">
        <xdr:graphicFrame macro="">
          <xdr:nvGraphicFramePr>
            <xdr:cNvPr id="9" name="Place 3">
              <a:extLst>
                <a:ext uri="{FF2B5EF4-FFF2-40B4-BE49-F238E27FC236}">
                  <a16:creationId xmlns:a16="http://schemas.microsoft.com/office/drawing/2014/main" id="{108306AD-3B15-45D1-BD21-1D8D63904837}"/>
                </a:ext>
              </a:extLst>
            </xdr:cNvPr>
            <xdr:cNvGraphicFramePr/>
          </xdr:nvGraphicFramePr>
          <xdr:xfrm>
            <a:off x="0" y="0"/>
            <a:ext cx="0" cy="0"/>
          </xdr:xfrm>
          <a:graphic>
            <a:graphicData uri="http://schemas.microsoft.com/office/drawing/2010/slicer">
              <sle:slicer xmlns:sle="http://schemas.microsoft.com/office/drawing/2010/slicer" name="Place 3"/>
            </a:graphicData>
          </a:graphic>
        </xdr:graphicFrame>
      </mc:Choice>
      <mc:Fallback xmlns="">
        <xdr:sp macro="" textlink="">
          <xdr:nvSpPr>
            <xdr:cNvPr id="0" name=""/>
            <xdr:cNvSpPr>
              <a:spLocks noTextEdit="1"/>
            </xdr:cNvSpPr>
          </xdr:nvSpPr>
          <xdr:spPr>
            <a:xfrm>
              <a:off x="7900754" y="148512"/>
              <a:ext cx="6327312" cy="1413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390020</xdr:colOff>
      <xdr:row>8</xdr:row>
      <xdr:rowOff>136538</xdr:rowOff>
    </xdr:from>
    <xdr:to>
      <xdr:col>23</xdr:col>
      <xdr:colOff>148511</xdr:colOff>
      <xdr:row>13</xdr:row>
      <xdr:rowOff>117099</xdr:rowOff>
    </xdr:to>
    <mc:AlternateContent xmlns:mc="http://schemas.openxmlformats.org/markup-compatibility/2006" xmlns:a14="http://schemas.microsoft.com/office/drawing/2010/main">
      <mc:Choice Requires="a14">
        <xdr:graphicFrame macro="">
          <xdr:nvGraphicFramePr>
            <xdr:cNvPr id="10" name="Products 3">
              <a:extLst>
                <a:ext uri="{FF2B5EF4-FFF2-40B4-BE49-F238E27FC236}">
                  <a16:creationId xmlns:a16="http://schemas.microsoft.com/office/drawing/2014/main" id="{61C34897-0A0F-457E-AECD-4AAEDDCB8489}"/>
                </a:ext>
              </a:extLst>
            </xdr:cNvPr>
            <xdr:cNvGraphicFramePr/>
          </xdr:nvGraphicFramePr>
          <xdr:xfrm>
            <a:off x="0" y="0"/>
            <a:ext cx="0" cy="0"/>
          </xdr:xfrm>
          <a:graphic>
            <a:graphicData uri="http://schemas.microsoft.com/office/drawing/2010/slicer">
              <sle:slicer xmlns:sle="http://schemas.microsoft.com/office/drawing/2010/slicer" name="Products 3"/>
            </a:graphicData>
          </a:graphic>
        </xdr:graphicFrame>
      </mc:Choice>
      <mc:Fallback xmlns="">
        <xdr:sp macro="" textlink="">
          <xdr:nvSpPr>
            <xdr:cNvPr id="0" name=""/>
            <xdr:cNvSpPr>
              <a:spLocks noTextEdit="1"/>
            </xdr:cNvSpPr>
          </xdr:nvSpPr>
          <xdr:spPr>
            <a:xfrm>
              <a:off x="1616654" y="1623367"/>
              <a:ext cx="12638150" cy="909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370426</xdr:colOff>
      <xdr:row>14</xdr:row>
      <xdr:rowOff>23948</xdr:rowOff>
    </xdr:from>
    <xdr:to>
      <xdr:col>4</xdr:col>
      <xdr:colOff>37634</xdr:colOff>
      <xdr:row>17</xdr:row>
      <xdr:rowOff>144003</xdr:rowOff>
    </xdr:to>
    <xdr:pic>
      <xdr:nvPicPr>
        <xdr:cNvPr id="11" name="Graphic 10" descr="Bar chart with solid fill">
          <a:extLst>
            <a:ext uri="{FF2B5EF4-FFF2-40B4-BE49-F238E27FC236}">
              <a16:creationId xmlns:a16="http://schemas.microsoft.com/office/drawing/2014/main" id="{754BD459-0EA9-4AF7-9D57-F6E4CDC2992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89626" y="2584268"/>
          <a:ext cx="886408" cy="668695"/>
        </a:xfrm>
        <a:prstGeom prst="rect">
          <a:avLst/>
        </a:prstGeom>
      </xdr:spPr>
    </xdr:pic>
    <xdr:clientData/>
  </xdr:twoCellAnchor>
  <xdr:twoCellAnchor>
    <xdr:from>
      <xdr:col>4</xdr:col>
      <xdr:colOff>154131</xdr:colOff>
      <xdr:row>14</xdr:row>
      <xdr:rowOff>124975</xdr:rowOff>
    </xdr:from>
    <xdr:to>
      <xdr:col>6</xdr:col>
      <xdr:colOff>473664</xdr:colOff>
      <xdr:row>18</xdr:row>
      <xdr:rowOff>153273</xdr:rowOff>
    </xdr:to>
    <xdr:sp macro="" textlink="">
      <xdr:nvSpPr>
        <xdr:cNvPr id="12" name="Rectangle 11">
          <a:extLst>
            <a:ext uri="{FF2B5EF4-FFF2-40B4-BE49-F238E27FC236}">
              <a16:creationId xmlns:a16="http://schemas.microsoft.com/office/drawing/2014/main" id="{8A348EBC-1F07-43C3-82B3-12F0C4811998}"/>
            </a:ext>
          </a:extLst>
        </xdr:cNvPr>
        <xdr:cNvSpPr/>
      </xdr:nvSpPr>
      <xdr:spPr>
        <a:xfrm>
          <a:off x="2592531" y="2685295"/>
          <a:ext cx="1538733" cy="759818"/>
        </a:xfrm>
        <a:prstGeom prst="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2">
                  <a:lumMod val="90000"/>
                  <a:lumOff val="10000"/>
                </a:schemeClr>
              </a:solidFill>
              <a:latin typeface="Aptos" panose="020B0004020202020204" pitchFamily="34" charset="0"/>
            </a:rPr>
            <a:t>Analytics</a:t>
          </a:r>
        </a:p>
      </xdr:txBody>
    </xdr:sp>
    <xdr:clientData/>
  </xdr:twoCellAnchor>
  <xdr:twoCellAnchor>
    <xdr:from>
      <xdr:col>14</xdr:col>
      <xdr:colOff>283449</xdr:colOff>
      <xdr:row>13</xdr:row>
      <xdr:rowOff>167095</xdr:rowOff>
    </xdr:from>
    <xdr:to>
      <xdr:col>23</xdr:col>
      <xdr:colOff>81668</xdr:colOff>
      <xdr:row>28</xdr:row>
      <xdr:rowOff>97016</xdr:rowOff>
    </xdr:to>
    <xdr:sp macro="" textlink="">
      <xdr:nvSpPr>
        <xdr:cNvPr id="19" name="Rectangle 18">
          <a:extLst>
            <a:ext uri="{FF2B5EF4-FFF2-40B4-BE49-F238E27FC236}">
              <a16:creationId xmlns:a16="http://schemas.microsoft.com/office/drawing/2014/main" id="{B5DEE4C0-8F15-4B5D-AEB0-71830B5E1211}"/>
            </a:ext>
          </a:extLst>
        </xdr:cNvPr>
        <xdr:cNvSpPr/>
      </xdr:nvSpPr>
      <xdr:spPr>
        <a:xfrm>
          <a:off x="8817849" y="2544535"/>
          <a:ext cx="5284619" cy="267312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407540</xdr:colOff>
      <xdr:row>18</xdr:row>
      <xdr:rowOff>38100</xdr:rowOff>
    </xdr:from>
    <xdr:to>
      <xdr:col>14</xdr:col>
      <xdr:colOff>136397</xdr:colOff>
      <xdr:row>44</xdr:row>
      <xdr:rowOff>130000</xdr:rowOff>
    </xdr:to>
    <xdr:sp macro="" textlink="">
      <xdr:nvSpPr>
        <xdr:cNvPr id="20" name="Rectangle 19">
          <a:extLst>
            <a:ext uri="{FF2B5EF4-FFF2-40B4-BE49-F238E27FC236}">
              <a16:creationId xmlns:a16="http://schemas.microsoft.com/office/drawing/2014/main" id="{A1DFACAD-AF4B-4102-B97F-5E9D5437AA22}"/>
            </a:ext>
          </a:extLst>
        </xdr:cNvPr>
        <xdr:cNvSpPr/>
      </xdr:nvSpPr>
      <xdr:spPr>
        <a:xfrm>
          <a:off x="1626740" y="3467100"/>
          <a:ext cx="7044057" cy="50449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290000</xdr:colOff>
      <xdr:row>28</xdr:row>
      <xdr:rowOff>178832</xdr:rowOff>
    </xdr:from>
    <xdr:to>
      <xdr:col>23</xdr:col>
      <xdr:colOff>88219</xdr:colOff>
      <xdr:row>44</xdr:row>
      <xdr:rowOff>103259</xdr:rowOff>
    </xdr:to>
    <xdr:sp macro="" textlink="">
      <xdr:nvSpPr>
        <xdr:cNvPr id="21" name="Rectangle 20">
          <a:extLst>
            <a:ext uri="{FF2B5EF4-FFF2-40B4-BE49-F238E27FC236}">
              <a16:creationId xmlns:a16="http://schemas.microsoft.com/office/drawing/2014/main" id="{BA5DDE72-0EA9-45FD-AEB5-A20149122229}"/>
            </a:ext>
          </a:extLst>
        </xdr:cNvPr>
        <xdr:cNvSpPr/>
      </xdr:nvSpPr>
      <xdr:spPr>
        <a:xfrm>
          <a:off x="8824400" y="5299472"/>
          <a:ext cx="5284619" cy="285050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322931</xdr:colOff>
      <xdr:row>14</xdr:row>
      <xdr:rowOff>12656</xdr:rowOff>
    </xdr:from>
    <xdr:to>
      <xdr:col>18</xdr:col>
      <xdr:colOff>338975</xdr:colOff>
      <xdr:row>16</xdr:row>
      <xdr:rowOff>77093</xdr:rowOff>
    </xdr:to>
    <xdr:sp macro="" textlink="">
      <xdr:nvSpPr>
        <xdr:cNvPr id="22" name="Rectangle 21">
          <a:extLst>
            <a:ext uri="{FF2B5EF4-FFF2-40B4-BE49-F238E27FC236}">
              <a16:creationId xmlns:a16="http://schemas.microsoft.com/office/drawing/2014/main" id="{E7B7E403-B877-4ED9-B9E4-F24189B59320}"/>
            </a:ext>
          </a:extLst>
        </xdr:cNvPr>
        <xdr:cNvSpPr/>
      </xdr:nvSpPr>
      <xdr:spPr>
        <a:xfrm>
          <a:off x="8857331" y="2572976"/>
          <a:ext cx="2454444" cy="43019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2">
                  <a:lumMod val="90000"/>
                  <a:lumOff val="10000"/>
                </a:schemeClr>
              </a:solidFill>
            </a:rPr>
            <a:t>TOP</a:t>
          </a:r>
          <a:r>
            <a:rPr lang="en-IN" sz="1400" b="1" baseline="0">
              <a:solidFill>
                <a:schemeClr val="tx2">
                  <a:lumMod val="90000"/>
                  <a:lumOff val="10000"/>
                </a:schemeClr>
              </a:solidFill>
            </a:rPr>
            <a:t> 3 SELLING PRODUCTS</a:t>
          </a:r>
          <a:endParaRPr lang="en-IN" sz="1400" b="1">
            <a:solidFill>
              <a:schemeClr val="tx2">
                <a:lumMod val="90000"/>
                <a:lumOff val="10000"/>
              </a:schemeClr>
            </a:solidFill>
          </a:endParaRPr>
        </a:p>
      </xdr:txBody>
    </xdr:sp>
    <xdr:clientData/>
  </xdr:twoCellAnchor>
  <xdr:twoCellAnchor>
    <xdr:from>
      <xdr:col>2</xdr:col>
      <xdr:colOff>470382</xdr:colOff>
      <xdr:row>18</xdr:row>
      <xdr:rowOff>110586</xdr:rowOff>
    </xdr:from>
    <xdr:to>
      <xdr:col>9</xdr:col>
      <xdr:colOff>242455</xdr:colOff>
      <xdr:row>21</xdr:row>
      <xdr:rowOff>119092</xdr:rowOff>
    </xdr:to>
    <xdr:sp macro="" textlink="">
      <xdr:nvSpPr>
        <xdr:cNvPr id="23" name="Rectangle 22">
          <a:extLst>
            <a:ext uri="{FF2B5EF4-FFF2-40B4-BE49-F238E27FC236}">
              <a16:creationId xmlns:a16="http://schemas.microsoft.com/office/drawing/2014/main" id="{0B3B2E38-C4D7-4298-8973-574692926297}"/>
            </a:ext>
          </a:extLst>
        </xdr:cNvPr>
        <xdr:cNvSpPr/>
      </xdr:nvSpPr>
      <xdr:spPr>
        <a:xfrm>
          <a:off x="1682655" y="3383722"/>
          <a:ext cx="4015027" cy="55402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2">
                  <a:lumMod val="90000"/>
                  <a:lumOff val="10000"/>
                </a:schemeClr>
              </a:solidFill>
              <a:latin typeface="Aptos" panose="020B0004020202020204" pitchFamily="34" charset="0"/>
            </a:rPr>
            <a:t>SALES</a:t>
          </a:r>
          <a:r>
            <a:rPr lang="en-IN" sz="1600" b="1" baseline="0">
              <a:solidFill>
                <a:schemeClr val="tx2">
                  <a:lumMod val="90000"/>
                  <a:lumOff val="10000"/>
                </a:schemeClr>
              </a:solidFill>
              <a:latin typeface="Aptos" panose="020B0004020202020204" pitchFamily="34" charset="0"/>
            </a:rPr>
            <a:t> OF PRODUCTS BY QUANTITY</a:t>
          </a:r>
          <a:endParaRPr lang="en-IN" sz="1600" b="1">
            <a:solidFill>
              <a:schemeClr val="tx2">
                <a:lumMod val="90000"/>
                <a:lumOff val="10000"/>
              </a:schemeClr>
            </a:solidFill>
            <a:latin typeface="Aptos" panose="020B0004020202020204" pitchFamily="34" charset="0"/>
          </a:endParaRPr>
        </a:p>
      </xdr:txBody>
    </xdr:sp>
    <xdr:clientData/>
  </xdr:twoCellAnchor>
  <xdr:twoCellAnchor>
    <xdr:from>
      <xdr:col>14</xdr:col>
      <xdr:colOff>392067</xdr:colOff>
      <xdr:row>29</xdr:row>
      <xdr:rowOff>89609</xdr:rowOff>
    </xdr:from>
    <xdr:to>
      <xdr:col>19</xdr:col>
      <xdr:colOff>43294</xdr:colOff>
      <xdr:row>32</xdr:row>
      <xdr:rowOff>30610</xdr:rowOff>
    </xdr:to>
    <xdr:sp macro="" textlink="">
      <xdr:nvSpPr>
        <xdr:cNvPr id="26" name="Rectangle 25">
          <a:extLst>
            <a:ext uri="{FF2B5EF4-FFF2-40B4-BE49-F238E27FC236}">
              <a16:creationId xmlns:a16="http://schemas.microsoft.com/office/drawing/2014/main" id="{72FC9942-4E35-4518-8BAD-E0707E6A7BC8}"/>
            </a:ext>
          </a:extLst>
        </xdr:cNvPr>
        <xdr:cNvSpPr/>
      </xdr:nvSpPr>
      <xdr:spPr>
        <a:xfrm>
          <a:off x="8877976" y="5362995"/>
          <a:ext cx="2681909" cy="48652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2">
                  <a:lumMod val="90000"/>
                  <a:lumOff val="10000"/>
                </a:schemeClr>
              </a:solidFill>
              <a:latin typeface="Aptos Narrow" panose="020B0004020202020204" pitchFamily="34" charset="0"/>
              <a:cs typeface="Arial" panose="020B0604020202020204" pitchFamily="34" charset="0"/>
            </a:rPr>
            <a:t>BOTTOM</a:t>
          </a:r>
          <a:r>
            <a:rPr lang="en-IN" sz="1400" b="1" baseline="0">
              <a:solidFill>
                <a:schemeClr val="tx2">
                  <a:lumMod val="90000"/>
                  <a:lumOff val="10000"/>
                </a:schemeClr>
              </a:solidFill>
              <a:latin typeface="Aptos Narrow" panose="020B0004020202020204" pitchFamily="34" charset="0"/>
              <a:cs typeface="Arial" panose="020B0604020202020204" pitchFamily="34" charset="0"/>
            </a:rPr>
            <a:t> 3 SELLING PRODUCTS</a:t>
          </a:r>
          <a:endParaRPr lang="en-IN" sz="1400" b="1">
            <a:solidFill>
              <a:schemeClr val="tx2">
                <a:lumMod val="90000"/>
                <a:lumOff val="10000"/>
              </a:schemeClr>
            </a:solidFill>
            <a:latin typeface="Aptos Narrow" panose="020B0004020202020204" pitchFamily="34" charset="0"/>
            <a:cs typeface="Arial" panose="020B0604020202020204" pitchFamily="34" charset="0"/>
          </a:endParaRPr>
        </a:p>
      </xdr:txBody>
    </xdr:sp>
    <xdr:clientData/>
  </xdr:twoCellAnchor>
  <xdr:twoCellAnchor>
    <xdr:from>
      <xdr:col>14</xdr:col>
      <xdr:colOff>293639</xdr:colOff>
      <xdr:row>16</xdr:row>
      <xdr:rowOff>25977</xdr:rowOff>
    </xdr:from>
    <xdr:to>
      <xdr:col>23</xdr:col>
      <xdr:colOff>84667</xdr:colOff>
      <xdr:row>28</xdr:row>
      <xdr:rowOff>95250</xdr:rowOff>
    </xdr:to>
    <xdr:graphicFrame macro="">
      <xdr:nvGraphicFramePr>
        <xdr:cNvPr id="14" name="Chart 13">
          <a:extLst>
            <a:ext uri="{FF2B5EF4-FFF2-40B4-BE49-F238E27FC236}">
              <a16:creationId xmlns:a16="http://schemas.microsoft.com/office/drawing/2014/main" id="{AC229396-E90F-49D4-BFBE-90D8F7179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277090</xdr:colOff>
      <xdr:row>31</xdr:row>
      <xdr:rowOff>86592</xdr:rowOff>
    </xdr:from>
    <xdr:to>
      <xdr:col>23</xdr:col>
      <xdr:colOff>86591</xdr:colOff>
      <xdr:row>44</xdr:row>
      <xdr:rowOff>121228</xdr:rowOff>
    </xdr:to>
    <xdr:graphicFrame macro="">
      <xdr:nvGraphicFramePr>
        <xdr:cNvPr id="15" name="Chart 14">
          <a:extLst>
            <a:ext uri="{FF2B5EF4-FFF2-40B4-BE49-F238E27FC236}">
              <a16:creationId xmlns:a16="http://schemas.microsoft.com/office/drawing/2014/main" id="{840BD3B4-5123-4836-9512-2BC8DCED3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406977</xdr:colOff>
      <xdr:row>21</xdr:row>
      <xdr:rowOff>0</xdr:rowOff>
    </xdr:from>
    <xdr:to>
      <xdr:col>14</xdr:col>
      <xdr:colOff>147204</xdr:colOff>
      <xdr:row>44</xdr:row>
      <xdr:rowOff>121227</xdr:rowOff>
    </xdr:to>
    <xdr:graphicFrame macro="">
      <xdr:nvGraphicFramePr>
        <xdr:cNvPr id="18" name="Chart 17">
          <a:extLst>
            <a:ext uri="{FF2B5EF4-FFF2-40B4-BE49-F238E27FC236}">
              <a16:creationId xmlns:a16="http://schemas.microsoft.com/office/drawing/2014/main" id="{84642EB5-E40E-4636-AEAA-2A573E521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437727</xdr:colOff>
      <xdr:row>44</xdr:row>
      <xdr:rowOff>42999</xdr:rowOff>
    </xdr:to>
    <xdr:sp macro="" textlink="">
      <xdr:nvSpPr>
        <xdr:cNvPr id="3" name="Rectangle: Rounded Corners 2">
          <a:extLst>
            <a:ext uri="{FF2B5EF4-FFF2-40B4-BE49-F238E27FC236}">
              <a16:creationId xmlns:a16="http://schemas.microsoft.com/office/drawing/2014/main" id="{DAD5B444-10E7-4F79-8A1E-95CD540EB999}"/>
            </a:ext>
          </a:extLst>
        </xdr:cNvPr>
        <xdr:cNvSpPr/>
      </xdr:nvSpPr>
      <xdr:spPr>
        <a:xfrm>
          <a:off x="0" y="0"/>
          <a:ext cx="14458527" cy="8089719"/>
        </a:xfrm>
        <a:prstGeom prst="roundRect">
          <a:avLst>
            <a:gd name="adj" fmla="val 169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275168</xdr:colOff>
      <xdr:row>0</xdr:row>
      <xdr:rowOff>60960</xdr:rowOff>
    </xdr:from>
    <xdr:to>
      <xdr:col>23</xdr:col>
      <xdr:colOff>370886</xdr:colOff>
      <xdr:row>43</xdr:row>
      <xdr:rowOff>154819</xdr:rowOff>
    </xdr:to>
    <xdr:sp macro="" textlink="">
      <xdr:nvSpPr>
        <xdr:cNvPr id="4" name="Rectangle: Rounded Corners 3">
          <a:extLst>
            <a:ext uri="{FF2B5EF4-FFF2-40B4-BE49-F238E27FC236}">
              <a16:creationId xmlns:a16="http://schemas.microsoft.com/office/drawing/2014/main" id="{9319C470-4C35-4B0D-8F7D-94BEF81DD066}"/>
            </a:ext>
          </a:extLst>
        </xdr:cNvPr>
        <xdr:cNvSpPr/>
      </xdr:nvSpPr>
      <xdr:spPr>
        <a:xfrm>
          <a:off x="1494368" y="60960"/>
          <a:ext cx="12897318" cy="7957699"/>
        </a:xfrm>
        <a:prstGeom prst="roundRect">
          <a:avLst>
            <a:gd name="adj" fmla="val 796"/>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101066</xdr:colOff>
      <xdr:row>10</xdr:row>
      <xdr:rowOff>67822</xdr:rowOff>
    </xdr:from>
    <xdr:to>
      <xdr:col>2</xdr:col>
      <xdr:colOff>231453</xdr:colOff>
      <xdr:row>12</xdr:row>
      <xdr:rowOff>69515</xdr:rowOff>
    </xdr:to>
    <xdr:sp macro="" textlink="">
      <xdr:nvSpPr>
        <xdr:cNvPr id="5" name="Rectangle: Rounded Corners 4">
          <a:hlinkClick xmlns:r="http://schemas.openxmlformats.org/officeDocument/2006/relationships" r:id="rId1"/>
          <a:extLst>
            <a:ext uri="{FF2B5EF4-FFF2-40B4-BE49-F238E27FC236}">
              <a16:creationId xmlns:a16="http://schemas.microsoft.com/office/drawing/2014/main" id="{DDC5D69F-2961-4241-AF9D-0FA4E127D438}"/>
            </a:ext>
          </a:extLst>
        </xdr:cNvPr>
        <xdr:cNvSpPr/>
      </xdr:nvSpPr>
      <xdr:spPr>
        <a:xfrm>
          <a:off x="101066" y="1896622"/>
          <a:ext cx="1349587" cy="367453"/>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latin typeface="Aptos" panose="020B0004020202020204" pitchFamily="34" charset="0"/>
            </a:rPr>
            <a:t>DASHBOARD</a:t>
          </a:r>
        </a:p>
      </xdr:txBody>
    </xdr:sp>
    <xdr:clientData/>
  </xdr:twoCellAnchor>
  <xdr:twoCellAnchor>
    <xdr:from>
      <xdr:col>0</xdr:col>
      <xdr:colOff>51336</xdr:colOff>
      <xdr:row>19</xdr:row>
      <xdr:rowOff>73882</xdr:rowOff>
    </xdr:from>
    <xdr:to>
      <xdr:col>2</xdr:col>
      <xdr:colOff>181723</xdr:colOff>
      <xdr:row>21</xdr:row>
      <xdr:rowOff>75576</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87002F2B-3BF0-4234-947C-9FA762443EB4}"/>
            </a:ext>
          </a:extLst>
        </xdr:cNvPr>
        <xdr:cNvSpPr/>
      </xdr:nvSpPr>
      <xdr:spPr>
        <a:xfrm>
          <a:off x="51336" y="3548602"/>
          <a:ext cx="1349587" cy="367454"/>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Aptos" panose="020B0004020202020204" pitchFamily="34" charset="0"/>
            </a:rPr>
            <a:t>ABOUT</a:t>
          </a:r>
        </a:p>
      </xdr:txBody>
    </xdr:sp>
    <xdr:clientData/>
  </xdr:twoCellAnchor>
  <xdr:twoCellAnchor>
    <xdr:from>
      <xdr:col>0</xdr:col>
      <xdr:colOff>70452</xdr:colOff>
      <xdr:row>16</xdr:row>
      <xdr:rowOff>57396</xdr:rowOff>
    </xdr:from>
    <xdr:to>
      <xdr:col>2</xdr:col>
      <xdr:colOff>200839</xdr:colOff>
      <xdr:row>18</xdr:row>
      <xdr:rowOff>59088</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798A2C6E-59ED-48E3-B276-E125925BFA37}"/>
            </a:ext>
          </a:extLst>
        </xdr:cNvPr>
        <xdr:cNvSpPr/>
      </xdr:nvSpPr>
      <xdr:spPr>
        <a:xfrm>
          <a:off x="70452" y="2983476"/>
          <a:ext cx="1349587" cy="367452"/>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latin typeface="Aptos" panose="020B0004020202020204" pitchFamily="34" charset="0"/>
            </a:rPr>
            <a:t>SALESMANS</a:t>
          </a:r>
        </a:p>
      </xdr:txBody>
    </xdr:sp>
    <xdr:clientData/>
  </xdr:twoCellAnchor>
  <xdr:twoCellAnchor>
    <xdr:from>
      <xdr:col>0</xdr:col>
      <xdr:colOff>76201</xdr:colOff>
      <xdr:row>13</xdr:row>
      <xdr:rowOff>35671</xdr:rowOff>
    </xdr:from>
    <xdr:to>
      <xdr:col>2</xdr:col>
      <xdr:colOff>206588</xdr:colOff>
      <xdr:row>15</xdr:row>
      <xdr:rowOff>41643</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A1A7DE22-8077-455E-9559-595A09BA0FF5}"/>
            </a:ext>
          </a:extLst>
        </xdr:cNvPr>
        <xdr:cNvSpPr/>
      </xdr:nvSpPr>
      <xdr:spPr>
        <a:xfrm>
          <a:off x="76201" y="2413111"/>
          <a:ext cx="1349587" cy="371732"/>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Aptos" panose="020B0004020202020204" pitchFamily="34" charset="0"/>
            </a:rPr>
            <a:t>PRODUCTS</a:t>
          </a:r>
        </a:p>
      </xdr:txBody>
    </xdr:sp>
    <xdr:clientData/>
  </xdr:twoCellAnchor>
  <xdr:twoCellAnchor editAs="oneCell">
    <xdr:from>
      <xdr:col>2</xdr:col>
      <xdr:colOff>412328</xdr:colOff>
      <xdr:row>0</xdr:row>
      <xdr:rowOff>141817</xdr:rowOff>
    </xdr:from>
    <xdr:to>
      <xdr:col>12</xdr:col>
      <xdr:colOff>537099</xdr:colOff>
      <xdr:row>8</xdr:row>
      <xdr:rowOff>29633</xdr:rowOff>
    </xdr:to>
    <mc:AlternateContent xmlns:mc="http://schemas.openxmlformats.org/markup-compatibility/2006" xmlns:tsle="http://schemas.microsoft.com/office/drawing/2012/timeslicer">
      <mc:Choice Requires="tsle">
        <xdr:graphicFrame macro="">
          <xdr:nvGraphicFramePr>
            <xdr:cNvPr id="9" name="Date 2">
              <a:extLst>
                <a:ext uri="{FF2B5EF4-FFF2-40B4-BE49-F238E27FC236}">
                  <a16:creationId xmlns:a16="http://schemas.microsoft.com/office/drawing/2014/main" id="{2CBF1964-B4A1-44EE-8ED0-D157F9D1CCDC}"/>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636146" y="141817"/>
              <a:ext cx="6243862" cy="13656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26815</xdr:colOff>
      <xdr:row>0</xdr:row>
      <xdr:rowOff>141817</xdr:rowOff>
    </xdr:from>
    <xdr:to>
      <xdr:col>23</xdr:col>
      <xdr:colOff>290675</xdr:colOff>
      <xdr:row>8</xdr:row>
      <xdr:rowOff>22013</xdr:rowOff>
    </xdr:to>
    <mc:AlternateContent xmlns:mc="http://schemas.openxmlformats.org/markup-compatibility/2006" xmlns:a14="http://schemas.microsoft.com/office/drawing/2010/main">
      <mc:Choice Requires="a14">
        <xdr:graphicFrame macro="">
          <xdr:nvGraphicFramePr>
            <xdr:cNvPr id="10" name="Place 2">
              <a:extLst>
                <a:ext uri="{FF2B5EF4-FFF2-40B4-BE49-F238E27FC236}">
                  <a16:creationId xmlns:a16="http://schemas.microsoft.com/office/drawing/2014/main" id="{0D690EF1-835C-4FB6-8E69-B761BCE186EA}"/>
                </a:ext>
              </a:extLst>
            </xdr:cNvPr>
            <xdr:cNvGraphicFramePr/>
          </xdr:nvGraphicFramePr>
          <xdr:xfrm>
            <a:off x="0" y="0"/>
            <a:ext cx="0" cy="0"/>
          </xdr:xfrm>
          <a:graphic>
            <a:graphicData uri="http://schemas.microsoft.com/office/drawing/2010/slicer">
              <sle:slicer xmlns:sle="http://schemas.microsoft.com/office/drawing/2010/slicer" name="Place 2"/>
            </a:graphicData>
          </a:graphic>
        </xdr:graphicFrame>
      </mc:Choice>
      <mc:Fallback xmlns="">
        <xdr:sp macro="" textlink="">
          <xdr:nvSpPr>
            <xdr:cNvPr id="0" name=""/>
            <xdr:cNvSpPr>
              <a:spLocks noTextEdit="1"/>
            </xdr:cNvSpPr>
          </xdr:nvSpPr>
          <xdr:spPr>
            <a:xfrm>
              <a:off x="7981633" y="141817"/>
              <a:ext cx="6382951" cy="1358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404707</xdr:colOff>
      <xdr:row>8</xdr:row>
      <xdr:rowOff>82973</xdr:rowOff>
    </xdr:from>
    <xdr:to>
      <xdr:col>23</xdr:col>
      <xdr:colOff>317413</xdr:colOff>
      <xdr:row>13</xdr:row>
      <xdr:rowOff>30057</xdr:rowOff>
    </xdr:to>
    <mc:AlternateContent xmlns:mc="http://schemas.openxmlformats.org/markup-compatibility/2006" xmlns:a14="http://schemas.microsoft.com/office/drawing/2010/main">
      <mc:Choice Requires="a14">
        <xdr:graphicFrame macro="">
          <xdr:nvGraphicFramePr>
            <xdr:cNvPr id="11" name="Products 2">
              <a:extLst>
                <a:ext uri="{FF2B5EF4-FFF2-40B4-BE49-F238E27FC236}">
                  <a16:creationId xmlns:a16="http://schemas.microsoft.com/office/drawing/2014/main" id="{ED86B8FF-0D69-4547-B278-7B640218CAFC}"/>
                </a:ext>
              </a:extLst>
            </xdr:cNvPr>
            <xdr:cNvGraphicFramePr/>
          </xdr:nvGraphicFramePr>
          <xdr:xfrm>
            <a:off x="0" y="0"/>
            <a:ext cx="0" cy="0"/>
          </xdr:xfrm>
          <a:graphic>
            <a:graphicData uri="http://schemas.microsoft.com/office/drawing/2010/slicer">
              <sle:slicer xmlns:sle="http://schemas.microsoft.com/office/drawing/2010/slicer" name="Products 2"/>
            </a:graphicData>
          </a:graphic>
        </xdr:graphicFrame>
      </mc:Choice>
      <mc:Fallback xmlns="">
        <xdr:sp macro="" textlink="">
          <xdr:nvSpPr>
            <xdr:cNvPr id="0" name=""/>
            <xdr:cNvSpPr>
              <a:spLocks noTextEdit="1"/>
            </xdr:cNvSpPr>
          </xdr:nvSpPr>
          <xdr:spPr>
            <a:xfrm>
              <a:off x="1628525" y="1560791"/>
              <a:ext cx="12762797" cy="870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385113</xdr:colOff>
      <xdr:row>13</xdr:row>
      <xdr:rowOff>113090</xdr:rowOff>
    </xdr:from>
    <xdr:to>
      <xdr:col>4</xdr:col>
      <xdr:colOff>67008</xdr:colOff>
      <xdr:row>17</xdr:row>
      <xdr:rowOff>30178</xdr:rowOff>
    </xdr:to>
    <xdr:pic>
      <xdr:nvPicPr>
        <xdr:cNvPr id="12" name="Graphic 11" descr="Bar chart with solid fill">
          <a:extLst>
            <a:ext uri="{FF2B5EF4-FFF2-40B4-BE49-F238E27FC236}">
              <a16:creationId xmlns:a16="http://schemas.microsoft.com/office/drawing/2014/main" id="{21C39FD3-A9A4-4FEC-97AF-14294D18D7C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04313" y="2490530"/>
          <a:ext cx="901095" cy="648608"/>
        </a:xfrm>
        <a:prstGeom prst="rect">
          <a:avLst/>
        </a:prstGeom>
      </xdr:spPr>
    </xdr:pic>
    <xdr:clientData/>
  </xdr:twoCellAnchor>
  <xdr:twoCellAnchor>
    <xdr:from>
      <xdr:col>4</xdr:col>
      <xdr:colOff>183505</xdr:colOff>
      <xdr:row>14</xdr:row>
      <xdr:rowOff>31237</xdr:rowOff>
    </xdr:from>
    <xdr:to>
      <xdr:col>6</xdr:col>
      <xdr:colOff>525068</xdr:colOff>
      <xdr:row>18</xdr:row>
      <xdr:rowOff>32753</xdr:rowOff>
    </xdr:to>
    <xdr:sp macro="" textlink="">
      <xdr:nvSpPr>
        <xdr:cNvPr id="13" name="Rectangle 12">
          <a:extLst>
            <a:ext uri="{FF2B5EF4-FFF2-40B4-BE49-F238E27FC236}">
              <a16:creationId xmlns:a16="http://schemas.microsoft.com/office/drawing/2014/main" id="{45755A99-EBF4-4324-9B36-83E5FD0CDD38}"/>
            </a:ext>
          </a:extLst>
        </xdr:cNvPr>
        <xdr:cNvSpPr/>
      </xdr:nvSpPr>
      <xdr:spPr>
        <a:xfrm>
          <a:off x="2621905" y="2591557"/>
          <a:ext cx="1560763" cy="733036"/>
        </a:xfrm>
        <a:prstGeom prst="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2">
                  <a:lumMod val="90000"/>
                  <a:lumOff val="10000"/>
                </a:schemeClr>
              </a:solidFill>
              <a:latin typeface="Aptos" panose="020B0004020202020204" pitchFamily="34" charset="0"/>
            </a:rPr>
            <a:t>Analytics</a:t>
          </a:r>
        </a:p>
      </xdr:txBody>
    </xdr:sp>
    <xdr:clientData/>
  </xdr:twoCellAnchor>
  <xdr:twoCellAnchor>
    <xdr:from>
      <xdr:col>14</xdr:col>
      <xdr:colOff>386259</xdr:colOff>
      <xdr:row>13</xdr:row>
      <xdr:rowOff>80053</xdr:rowOff>
    </xdr:from>
    <xdr:to>
      <xdr:col>23</xdr:col>
      <xdr:colOff>250570</xdr:colOff>
      <xdr:row>27</xdr:row>
      <xdr:rowOff>92420</xdr:rowOff>
    </xdr:to>
    <xdr:sp macro="" textlink="">
      <xdr:nvSpPr>
        <xdr:cNvPr id="20" name="Rectangle 19">
          <a:extLst>
            <a:ext uri="{FF2B5EF4-FFF2-40B4-BE49-F238E27FC236}">
              <a16:creationId xmlns:a16="http://schemas.microsoft.com/office/drawing/2014/main" id="{036591E9-7EF7-4C38-A02C-72E1F8602B89}"/>
            </a:ext>
          </a:extLst>
        </xdr:cNvPr>
        <xdr:cNvSpPr/>
      </xdr:nvSpPr>
      <xdr:spPr>
        <a:xfrm>
          <a:off x="8920659" y="2457493"/>
          <a:ext cx="5350711" cy="257268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422227</xdr:colOff>
      <xdr:row>17</xdr:row>
      <xdr:rowOff>161636</xdr:rowOff>
    </xdr:from>
    <xdr:to>
      <xdr:col>14</xdr:col>
      <xdr:colOff>239207</xdr:colOff>
      <xdr:row>43</xdr:row>
      <xdr:rowOff>18274</xdr:rowOff>
    </xdr:to>
    <xdr:sp macro="" textlink="">
      <xdr:nvSpPr>
        <xdr:cNvPr id="21" name="Rectangle 20">
          <a:extLst>
            <a:ext uri="{FF2B5EF4-FFF2-40B4-BE49-F238E27FC236}">
              <a16:creationId xmlns:a16="http://schemas.microsoft.com/office/drawing/2014/main" id="{7E77D9AD-60F5-44F1-8252-55D44024842F}"/>
            </a:ext>
          </a:extLst>
        </xdr:cNvPr>
        <xdr:cNvSpPr/>
      </xdr:nvSpPr>
      <xdr:spPr>
        <a:xfrm>
          <a:off x="1646045" y="3302000"/>
          <a:ext cx="7159889" cy="465954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392810</xdr:colOff>
      <xdr:row>27</xdr:row>
      <xdr:rowOff>174236</xdr:rowOff>
    </xdr:from>
    <xdr:to>
      <xdr:col>23</xdr:col>
      <xdr:colOff>257121</xdr:colOff>
      <xdr:row>42</xdr:row>
      <xdr:rowOff>174413</xdr:rowOff>
    </xdr:to>
    <xdr:sp macro="" textlink="">
      <xdr:nvSpPr>
        <xdr:cNvPr id="22" name="Rectangle 21">
          <a:extLst>
            <a:ext uri="{FF2B5EF4-FFF2-40B4-BE49-F238E27FC236}">
              <a16:creationId xmlns:a16="http://schemas.microsoft.com/office/drawing/2014/main" id="{930CBA19-E649-4C24-9BD8-909B74E59A3B}"/>
            </a:ext>
          </a:extLst>
        </xdr:cNvPr>
        <xdr:cNvSpPr/>
      </xdr:nvSpPr>
      <xdr:spPr>
        <a:xfrm>
          <a:off x="8927210" y="5111996"/>
          <a:ext cx="5350711" cy="274337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425741</xdr:colOff>
      <xdr:row>13</xdr:row>
      <xdr:rowOff>101798</xdr:rowOff>
    </xdr:from>
    <xdr:to>
      <xdr:col>18</xdr:col>
      <xdr:colOff>471159</xdr:colOff>
      <xdr:row>15</xdr:row>
      <xdr:rowOff>152844</xdr:rowOff>
    </xdr:to>
    <xdr:sp macro="" textlink="">
      <xdr:nvSpPr>
        <xdr:cNvPr id="23" name="Rectangle 22">
          <a:extLst>
            <a:ext uri="{FF2B5EF4-FFF2-40B4-BE49-F238E27FC236}">
              <a16:creationId xmlns:a16="http://schemas.microsoft.com/office/drawing/2014/main" id="{73B9D3E4-6045-416E-BCBE-0A70C85D4916}"/>
            </a:ext>
          </a:extLst>
        </xdr:cNvPr>
        <xdr:cNvSpPr/>
      </xdr:nvSpPr>
      <xdr:spPr>
        <a:xfrm>
          <a:off x="8960141" y="2479238"/>
          <a:ext cx="2483818" cy="41680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2">
                  <a:lumMod val="90000"/>
                  <a:lumOff val="10000"/>
                </a:schemeClr>
              </a:solidFill>
            </a:rPr>
            <a:t>TOP</a:t>
          </a:r>
          <a:r>
            <a:rPr lang="en-IN" sz="1400" b="1" baseline="0">
              <a:solidFill>
                <a:schemeClr val="tx2">
                  <a:lumMod val="90000"/>
                  <a:lumOff val="10000"/>
                </a:schemeClr>
              </a:solidFill>
            </a:rPr>
            <a:t> 3 SALESMAN</a:t>
          </a:r>
          <a:endParaRPr lang="en-IN" sz="1400" b="1">
            <a:solidFill>
              <a:schemeClr val="tx2">
                <a:lumMod val="90000"/>
                <a:lumOff val="10000"/>
              </a:schemeClr>
            </a:solidFill>
          </a:endParaRPr>
        </a:p>
      </xdr:txBody>
    </xdr:sp>
    <xdr:clientData/>
  </xdr:twoCellAnchor>
  <xdr:twoCellAnchor>
    <xdr:from>
      <xdr:col>2</xdr:col>
      <xdr:colOff>436000</xdr:colOff>
      <xdr:row>18</xdr:row>
      <xdr:rowOff>57382</xdr:rowOff>
    </xdr:from>
    <xdr:to>
      <xdr:col>7</xdr:col>
      <xdr:colOff>484909</xdr:colOff>
      <xdr:row>21</xdr:row>
      <xdr:rowOff>45801</xdr:rowOff>
    </xdr:to>
    <xdr:sp macro="" textlink="">
      <xdr:nvSpPr>
        <xdr:cNvPr id="24" name="Rectangle 23">
          <a:extLst>
            <a:ext uri="{FF2B5EF4-FFF2-40B4-BE49-F238E27FC236}">
              <a16:creationId xmlns:a16="http://schemas.microsoft.com/office/drawing/2014/main" id="{E4D21FC6-846E-4C19-AE1E-D13E33A7C620}"/>
            </a:ext>
          </a:extLst>
        </xdr:cNvPr>
        <xdr:cNvSpPr/>
      </xdr:nvSpPr>
      <xdr:spPr>
        <a:xfrm>
          <a:off x="1659818" y="3382473"/>
          <a:ext cx="3108455" cy="54260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2">
                  <a:lumMod val="90000"/>
                  <a:lumOff val="10000"/>
                </a:schemeClr>
              </a:solidFill>
              <a:latin typeface="Aptos" panose="020B0004020202020204" pitchFamily="34" charset="0"/>
            </a:rPr>
            <a:t>SALESMAN</a:t>
          </a:r>
          <a:r>
            <a:rPr lang="en-IN" sz="1600" b="1" baseline="0">
              <a:solidFill>
                <a:schemeClr val="tx2">
                  <a:lumMod val="90000"/>
                  <a:lumOff val="10000"/>
                </a:schemeClr>
              </a:solidFill>
              <a:latin typeface="Aptos" panose="020B0004020202020204" pitchFamily="34" charset="0"/>
            </a:rPr>
            <a:t> PERFORMANCE</a:t>
          </a:r>
          <a:endParaRPr lang="en-IN" sz="1600" b="1">
            <a:solidFill>
              <a:schemeClr val="tx2">
                <a:lumMod val="90000"/>
                <a:lumOff val="10000"/>
              </a:schemeClr>
            </a:solidFill>
            <a:latin typeface="Aptos" panose="020B0004020202020204" pitchFamily="34" charset="0"/>
          </a:endParaRPr>
        </a:p>
      </xdr:txBody>
    </xdr:sp>
    <xdr:clientData/>
  </xdr:twoCellAnchor>
  <xdr:twoCellAnchor>
    <xdr:from>
      <xdr:col>14</xdr:col>
      <xdr:colOff>494878</xdr:colOff>
      <xdr:row>28</xdr:row>
      <xdr:rowOff>78317</xdr:rowOff>
    </xdr:from>
    <xdr:to>
      <xdr:col>17</xdr:col>
      <xdr:colOff>528745</xdr:colOff>
      <xdr:row>31</xdr:row>
      <xdr:rowOff>5927</xdr:rowOff>
    </xdr:to>
    <xdr:sp macro="" textlink="">
      <xdr:nvSpPr>
        <xdr:cNvPr id="27" name="Rectangle 26">
          <a:extLst>
            <a:ext uri="{FF2B5EF4-FFF2-40B4-BE49-F238E27FC236}">
              <a16:creationId xmlns:a16="http://schemas.microsoft.com/office/drawing/2014/main" id="{F497F453-9DE5-47E3-9B3A-1D703FE6A468}"/>
            </a:ext>
          </a:extLst>
        </xdr:cNvPr>
        <xdr:cNvSpPr/>
      </xdr:nvSpPr>
      <xdr:spPr>
        <a:xfrm>
          <a:off x="9029278" y="5198957"/>
          <a:ext cx="1862667" cy="4762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2">
                  <a:lumMod val="90000"/>
                  <a:lumOff val="10000"/>
                </a:schemeClr>
              </a:solidFill>
              <a:latin typeface="Aptos Narrow" panose="020B0004020202020204" pitchFamily="34" charset="0"/>
              <a:cs typeface="Arial" panose="020B0604020202020204" pitchFamily="34" charset="0"/>
            </a:rPr>
            <a:t>BOTTOM</a:t>
          </a:r>
          <a:r>
            <a:rPr lang="en-IN" sz="1400" b="1" baseline="0">
              <a:solidFill>
                <a:schemeClr val="tx2">
                  <a:lumMod val="90000"/>
                  <a:lumOff val="10000"/>
                </a:schemeClr>
              </a:solidFill>
              <a:latin typeface="Aptos Narrow" panose="020B0004020202020204" pitchFamily="34" charset="0"/>
              <a:cs typeface="Arial" panose="020B0604020202020204" pitchFamily="34" charset="0"/>
            </a:rPr>
            <a:t> 3 SALESMAN</a:t>
          </a:r>
          <a:endParaRPr lang="en-IN" sz="1400" b="1">
            <a:solidFill>
              <a:schemeClr val="tx2">
                <a:lumMod val="90000"/>
                <a:lumOff val="10000"/>
              </a:schemeClr>
            </a:solidFill>
            <a:latin typeface="Aptos Narrow" panose="020B0004020202020204" pitchFamily="34" charset="0"/>
            <a:cs typeface="Arial" panose="020B0604020202020204" pitchFamily="34" charset="0"/>
          </a:endParaRPr>
        </a:p>
      </xdr:txBody>
    </xdr:sp>
    <xdr:clientData/>
  </xdr:twoCellAnchor>
  <xdr:twoCellAnchor>
    <xdr:from>
      <xdr:col>14</xdr:col>
      <xdr:colOff>357911</xdr:colOff>
      <xdr:row>15</xdr:row>
      <xdr:rowOff>57726</xdr:rowOff>
    </xdr:from>
    <xdr:to>
      <xdr:col>23</xdr:col>
      <xdr:colOff>265546</xdr:colOff>
      <xdr:row>27</xdr:row>
      <xdr:rowOff>103908</xdr:rowOff>
    </xdr:to>
    <xdr:graphicFrame macro="">
      <xdr:nvGraphicFramePr>
        <xdr:cNvPr id="14" name="Chart 13">
          <a:extLst>
            <a:ext uri="{FF2B5EF4-FFF2-40B4-BE49-F238E27FC236}">
              <a16:creationId xmlns:a16="http://schemas.microsoft.com/office/drawing/2014/main" id="{12B0BC7B-937B-47E8-B7B4-62426B4B5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360482</xdr:colOff>
      <xdr:row>30</xdr:row>
      <xdr:rowOff>23091</xdr:rowOff>
    </xdr:from>
    <xdr:to>
      <xdr:col>23</xdr:col>
      <xdr:colOff>265545</xdr:colOff>
      <xdr:row>42</xdr:row>
      <xdr:rowOff>177465</xdr:rowOff>
    </xdr:to>
    <xdr:graphicFrame macro="">
      <xdr:nvGraphicFramePr>
        <xdr:cNvPr id="16" name="Chart 15">
          <a:extLst>
            <a:ext uri="{FF2B5EF4-FFF2-40B4-BE49-F238E27FC236}">
              <a16:creationId xmlns:a16="http://schemas.microsoft.com/office/drawing/2014/main" id="{64D7698A-9B34-49CC-87F8-B90BA9F39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410681</xdr:colOff>
      <xdr:row>21</xdr:row>
      <xdr:rowOff>11545</xdr:rowOff>
    </xdr:from>
    <xdr:to>
      <xdr:col>14</xdr:col>
      <xdr:colOff>242455</xdr:colOff>
      <xdr:row>43</xdr:row>
      <xdr:rowOff>34635</xdr:rowOff>
    </xdr:to>
    <xdr:graphicFrame macro="">
      <xdr:nvGraphicFramePr>
        <xdr:cNvPr id="18" name="Chart 17">
          <a:extLst>
            <a:ext uri="{FF2B5EF4-FFF2-40B4-BE49-F238E27FC236}">
              <a16:creationId xmlns:a16="http://schemas.microsoft.com/office/drawing/2014/main" id="{F57ED923-82A6-49C1-9BFC-04B132979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268825</xdr:colOff>
      <xdr:row>45</xdr:row>
      <xdr:rowOff>161420</xdr:rowOff>
    </xdr:to>
    <xdr:sp macro="" textlink="">
      <xdr:nvSpPr>
        <xdr:cNvPr id="2" name="Rectangle: Rounded Corners 1">
          <a:extLst>
            <a:ext uri="{FF2B5EF4-FFF2-40B4-BE49-F238E27FC236}">
              <a16:creationId xmlns:a16="http://schemas.microsoft.com/office/drawing/2014/main" id="{7ACD1BD0-A48C-45B1-80D8-1E6D8BCDA52C}"/>
            </a:ext>
          </a:extLst>
        </xdr:cNvPr>
        <xdr:cNvSpPr/>
      </xdr:nvSpPr>
      <xdr:spPr>
        <a:xfrm>
          <a:off x="0" y="0"/>
          <a:ext cx="14289625" cy="8391020"/>
        </a:xfrm>
        <a:prstGeom prst="roundRect">
          <a:avLst>
            <a:gd name="adj" fmla="val 169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260481</xdr:colOff>
      <xdr:row>0</xdr:row>
      <xdr:rowOff>60960</xdr:rowOff>
    </xdr:from>
    <xdr:to>
      <xdr:col>23</xdr:col>
      <xdr:colOff>201984</xdr:colOff>
      <xdr:row>45</xdr:row>
      <xdr:rowOff>83665</xdr:rowOff>
    </xdr:to>
    <xdr:sp macro="" textlink="">
      <xdr:nvSpPr>
        <xdr:cNvPr id="3" name="Rectangle: Rounded Corners 2">
          <a:extLst>
            <a:ext uri="{FF2B5EF4-FFF2-40B4-BE49-F238E27FC236}">
              <a16:creationId xmlns:a16="http://schemas.microsoft.com/office/drawing/2014/main" id="{09B7CFC0-0A57-4711-BDE6-5C263845863B}"/>
            </a:ext>
          </a:extLst>
        </xdr:cNvPr>
        <xdr:cNvSpPr/>
      </xdr:nvSpPr>
      <xdr:spPr>
        <a:xfrm>
          <a:off x="1479681" y="60960"/>
          <a:ext cx="12743103" cy="8252305"/>
        </a:xfrm>
        <a:prstGeom prst="roundRect">
          <a:avLst>
            <a:gd name="adj" fmla="val 796"/>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101066</xdr:colOff>
      <xdr:row>10</xdr:row>
      <xdr:rowOff>134777</xdr:rowOff>
    </xdr:from>
    <xdr:to>
      <xdr:col>2</xdr:col>
      <xdr:colOff>216766</xdr:colOff>
      <xdr:row>12</xdr:row>
      <xdr:rowOff>149862</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D9EF1045-0484-4B5B-9041-C980E58AFB89}"/>
            </a:ext>
          </a:extLst>
        </xdr:cNvPr>
        <xdr:cNvSpPr/>
      </xdr:nvSpPr>
      <xdr:spPr>
        <a:xfrm>
          <a:off x="101066" y="1963577"/>
          <a:ext cx="1334900" cy="380845"/>
        </a:xfrm>
        <a:prstGeom prst="round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latin typeface="Aptos" panose="020B0004020202020204" pitchFamily="34" charset="0"/>
            </a:rPr>
            <a:t>DASHBOARD</a:t>
          </a:r>
        </a:p>
      </xdr:txBody>
    </xdr:sp>
    <xdr:clientData/>
  </xdr:twoCellAnchor>
  <xdr:twoCellAnchor>
    <xdr:from>
      <xdr:col>0</xdr:col>
      <xdr:colOff>51336</xdr:colOff>
      <xdr:row>20</xdr:row>
      <xdr:rowOff>24914</xdr:rowOff>
    </xdr:from>
    <xdr:to>
      <xdr:col>2</xdr:col>
      <xdr:colOff>167036</xdr:colOff>
      <xdr:row>22</xdr:row>
      <xdr:rowOff>39998</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50BDE2E-29AB-4238-9247-98B3B797078B}"/>
            </a:ext>
          </a:extLst>
        </xdr:cNvPr>
        <xdr:cNvSpPr/>
      </xdr:nvSpPr>
      <xdr:spPr>
        <a:xfrm>
          <a:off x="51336" y="3682514"/>
          <a:ext cx="1334900" cy="380844"/>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latin typeface="Aptos" panose="020B0004020202020204" pitchFamily="34" charset="0"/>
            </a:rPr>
            <a:t>ABOUT</a:t>
          </a:r>
        </a:p>
      </xdr:txBody>
    </xdr:sp>
    <xdr:clientData/>
  </xdr:twoCellAnchor>
  <xdr:twoCellAnchor>
    <xdr:from>
      <xdr:col>0</xdr:col>
      <xdr:colOff>70452</xdr:colOff>
      <xdr:row>16</xdr:row>
      <xdr:rowOff>164525</xdr:rowOff>
    </xdr:from>
    <xdr:to>
      <xdr:col>2</xdr:col>
      <xdr:colOff>186152</xdr:colOff>
      <xdr:row>18</xdr:row>
      <xdr:rowOff>179608</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ED12DCC9-E520-42E2-8482-5F7BBD77EEEB}"/>
            </a:ext>
          </a:extLst>
        </xdr:cNvPr>
        <xdr:cNvSpPr/>
      </xdr:nvSpPr>
      <xdr:spPr>
        <a:xfrm>
          <a:off x="70452" y="3090605"/>
          <a:ext cx="1334900" cy="380843"/>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Aptos" panose="020B0004020202020204" pitchFamily="34" charset="0"/>
            </a:rPr>
            <a:t>SALESMANS</a:t>
          </a:r>
        </a:p>
      </xdr:txBody>
    </xdr:sp>
    <xdr:clientData/>
  </xdr:twoCellAnchor>
  <xdr:twoCellAnchor>
    <xdr:from>
      <xdr:col>0</xdr:col>
      <xdr:colOff>76201</xdr:colOff>
      <xdr:row>13</xdr:row>
      <xdr:rowOff>122713</xdr:rowOff>
    </xdr:from>
    <xdr:to>
      <xdr:col>2</xdr:col>
      <xdr:colOff>191901</xdr:colOff>
      <xdr:row>15</xdr:row>
      <xdr:rowOff>142077</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CE416648-69B4-43DF-8114-D59C59755F4F}"/>
            </a:ext>
          </a:extLst>
        </xdr:cNvPr>
        <xdr:cNvSpPr/>
      </xdr:nvSpPr>
      <xdr:spPr>
        <a:xfrm>
          <a:off x="76201" y="2500153"/>
          <a:ext cx="1334900" cy="385124"/>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latin typeface="Aptos" panose="020B0004020202020204" pitchFamily="34" charset="0"/>
            </a:rPr>
            <a:t>PRODUCTS</a:t>
          </a:r>
        </a:p>
      </xdr:txBody>
    </xdr:sp>
    <xdr:clientData/>
  </xdr:twoCellAnchor>
  <xdr:twoCellAnchor editAs="oneCell">
    <xdr:from>
      <xdr:col>2</xdr:col>
      <xdr:colOff>397641</xdr:colOff>
      <xdr:row>0</xdr:row>
      <xdr:rowOff>148512</xdr:rowOff>
    </xdr:from>
    <xdr:to>
      <xdr:col>12</xdr:col>
      <xdr:colOff>441633</xdr:colOff>
      <xdr:row>8</xdr:row>
      <xdr:rowOff>83198</xdr:rowOff>
    </xdr:to>
    <mc:AlternateContent xmlns:mc="http://schemas.openxmlformats.org/markup-compatibility/2006" xmlns:tsle="http://schemas.microsoft.com/office/drawing/2012/timeslicer">
      <mc:Choice Requires="tsle">
        <xdr:graphicFrame macro="">
          <xdr:nvGraphicFramePr>
            <xdr:cNvPr id="8" name="Date 4">
              <a:extLst>
                <a:ext uri="{FF2B5EF4-FFF2-40B4-BE49-F238E27FC236}">
                  <a16:creationId xmlns:a16="http://schemas.microsoft.com/office/drawing/2014/main" id="{DC65D313-BCDA-4AE0-8028-05B21E1DCDD7}"/>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1631355" y="148512"/>
              <a:ext cx="6212564" cy="13861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540949</xdr:colOff>
      <xdr:row>0</xdr:row>
      <xdr:rowOff>148512</xdr:rowOff>
    </xdr:from>
    <xdr:to>
      <xdr:col>23</xdr:col>
      <xdr:colOff>121773</xdr:colOff>
      <xdr:row>8</xdr:row>
      <xdr:rowOff>75578</xdr:rowOff>
    </xdr:to>
    <mc:AlternateContent xmlns:mc="http://schemas.openxmlformats.org/markup-compatibility/2006" xmlns:a14="http://schemas.microsoft.com/office/drawing/2010/main">
      <mc:Choice Requires="a14">
        <xdr:graphicFrame macro="">
          <xdr:nvGraphicFramePr>
            <xdr:cNvPr id="9" name="Place 4">
              <a:extLst>
                <a:ext uri="{FF2B5EF4-FFF2-40B4-BE49-F238E27FC236}">
                  <a16:creationId xmlns:a16="http://schemas.microsoft.com/office/drawing/2014/main" id="{516F3954-A0C8-49FE-BCC8-A3200D8D950B}"/>
                </a:ext>
              </a:extLst>
            </xdr:cNvPr>
            <xdr:cNvGraphicFramePr/>
          </xdr:nvGraphicFramePr>
          <xdr:xfrm>
            <a:off x="0" y="0"/>
            <a:ext cx="0" cy="0"/>
          </xdr:xfrm>
          <a:graphic>
            <a:graphicData uri="http://schemas.microsoft.com/office/drawing/2010/slicer">
              <sle:slicer xmlns:sle="http://schemas.microsoft.com/office/drawing/2010/slicer" name="Place 4"/>
            </a:graphicData>
          </a:graphic>
        </xdr:graphicFrame>
      </mc:Choice>
      <mc:Fallback xmlns="">
        <xdr:sp macro="" textlink="">
          <xdr:nvSpPr>
            <xdr:cNvPr id="0" name=""/>
            <xdr:cNvSpPr>
              <a:spLocks noTextEdit="1"/>
            </xdr:cNvSpPr>
          </xdr:nvSpPr>
          <xdr:spPr>
            <a:xfrm>
              <a:off x="7943235" y="148512"/>
              <a:ext cx="6366252" cy="1378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390020</xdr:colOff>
      <xdr:row>8</xdr:row>
      <xdr:rowOff>136538</xdr:rowOff>
    </xdr:from>
    <xdr:to>
      <xdr:col>23</xdr:col>
      <xdr:colOff>148511</xdr:colOff>
      <xdr:row>13</xdr:row>
      <xdr:rowOff>117099</xdr:rowOff>
    </xdr:to>
    <mc:AlternateContent xmlns:mc="http://schemas.openxmlformats.org/markup-compatibility/2006" xmlns:a14="http://schemas.microsoft.com/office/drawing/2010/main">
      <mc:Choice Requires="a14">
        <xdr:graphicFrame macro="">
          <xdr:nvGraphicFramePr>
            <xdr:cNvPr id="10" name="Products 4">
              <a:extLst>
                <a:ext uri="{FF2B5EF4-FFF2-40B4-BE49-F238E27FC236}">
                  <a16:creationId xmlns:a16="http://schemas.microsoft.com/office/drawing/2014/main" id="{B9B1B5D2-2B19-41C1-A226-926078138E3A}"/>
                </a:ext>
              </a:extLst>
            </xdr:cNvPr>
            <xdr:cNvGraphicFramePr/>
          </xdr:nvGraphicFramePr>
          <xdr:xfrm>
            <a:off x="0" y="0"/>
            <a:ext cx="0" cy="0"/>
          </xdr:xfrm>
          <a:graphic>
            <a:graphicData uri="http://schemas.microsoft.com/office/drawing/2010/slicer">
              <sle:slicer xmlns:sle="http://schemas.microsoft.com/office/drawing/2010/slicer" name="Products 4"/>
            </a:graphicData>
          </a:graphic>
        </xdr:graphicFrame>
      </mc:Choice>
      <mc:Fallback xmlns="">
        <xdr:sp macro="" textlink="">
          <xdr:nvSpPr>
            <xdr:cNvPr id="0" name=""/>
            <xdr:cNvSpPr>
              <a:spLocks noTextEdit="1"/>
            </xdr:cNvSpPr>
          </xdr:nvSpPr>
          <xdr:spPr>
            <a:xfrm>
              <a:off x="1623734" y="1587967"/>
              <a:ext cx="12712491" cy="887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362161</xdr:colOff>
      <xdr:row>14</xdr:row>
      <xdr:rowOff>30771</xdr:rowOff>
    </xdr:from>
    <xdr:to>
      <xdr:col>8</xdr:col>
      <xdr:colOff>57078</xdr:colOff>
      <xdr:row>18</xdr:row>
      <xdr:rowOff>59069</xdr:rowOff>
    </xdr:to>
    <xdr:sp macro="" textlink="">
      <xdr:nvSpPr>
        <xdr:cNvPr id="12" name="Rectangle 11">
          <a:extLst>
            <a:ext uri="{FF2B5EF4-FFF2-40B4-BE49-F238E27FC236}">
              <a16:creationId xmlns:a16="http://schemas.microsoft.com/office/drawing/2014/main" id="{DA0E7B25-FFDB-486B-B7F3-C335D48F7FC0}"/>
            </a:ext>
          </a:extLst>
        </xdr:cNvPr>
        <xdr:cNvSpPr/>
      </xdr:nvSpPr>
      <xdr:spPr>
        <a:xfrm>
          <a:off x="2824007" y="2492617"/>
          <a:ext cx="2156763" cy="731683"/>
        </a:xfrm>
        <a:prstGeom prst="rect">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000" b="1">
              <a:solidFill>
                <a:schemeClr val="tx2">
                  <a:lumMod val="90000"/>
                  <a:lumOff val="10000"/>
                </a:schemeClr>
              </a:solidFill>
              <a:latin typeface="Aptos" panose="020B0004020202020204" pitchFamily="34" charset="0"/>
            </a:rPr>
            <a:t>ABOUT</a:t>
          </a:r>
        </a:p>
      </xdr:txBody>
    </xdr:sp>
    <xdr:clientData/>
  </xdr:twoCellAnchor>
  <xdr:twoCellAnchor>
    <xdr:from>
      <xdr:col>2</xdr:col>
      <xdr:colOff>417287</xdr:colOff>
      <xdr:row>19</xdr:row>
      <xdr:rowOff>54429</xdr:rowOff>
    </xdr:from>
    <xdr:to>
      <xdr:col>23</xdr:col>
      <xdr:colOff>72573</xdr:colOff>
      <xdr:row>44</xdr:row>
      <xdr:rowOff>145143</xdr:rowOff>
    </xdr:to>
    <xdr:sp macro="" textlink="">
      <xdr:nvSpPr>
        <xdr:cNvPr id="31" name="Rectangle 30">
          <a:extLst>
            <a:ext uri="{FF2B5EF4-FFF2-40B4-BE49-F238E27FC236}">
              <a16:creationId xmlns:a16="http://schemas.microsoft.com/office/drawing/2014/main" id="{34FF49DA-9A9F-42C3-A149-DBAC8086FF9B}"/>
            </a:ext>
          </a:extLst>
        </xdr:cNvPr>
        <xdr:cNvSpPr/>
      </xdr:nvSpPr>
      <xdr:spPr>
        <a:xfrm>
          <a:off x="1648210" y="3395506"/>
          <a:ext cx="12579978" cy="448686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rPr>
            <a:t>VERSION:</a:t>
          </a:r>
        </a:p>
        <a:p>
          <a:pPr algn="l"/>
          <a:endParaRPr lang="en-IN" sz="2400">
            <a:solidFill>
              <a:schemeClr val="tx1"/>
            </a:solidFill>
          </a:endParaRPr>
        </a:p>
        <a:p>
          <a:pPr algn="l"/>
          <a:r>
            <a:rPr lang="en-IN" sz="2400">
              <a:solidFill>
                <a:schemeClr val="tx1"/>
              </a:solidFill>
            </a:rPr>
            <a:t>THE PROJECT</a:t>
          </a:r>
          <a:r>
            <a:rPr lang="en-IN" sz="2400" baseline="0">
              <a:solidFill>
                <a:schemeClr val="tx1"/>
              </a:solidFill>
            </a:rPr>
            <a:t> IS CREATED USING EXCEL 2019 AND DASHBOARD USED TO EXPLAIN THE THINGS VISUALLY AND GIVES MORE INTERACTIVETY.</a:t>
          </a:r>
          <a:endParaRPr lang="en-IN" sz="2400">
            <a:solidFill>
              <a:schemeClr val="tx1"/>
            </a:solidFill>
          </a:endParaRPr>
        </a:p>
      </xdr:txBody>
    </xdr:sp>
    <xdr:clientData/>
  </xdr:twoCellAnchor>
  <xdr:twoCellAnchor editAs="oneCell">
    <xdr:from>
      <xdr:col>2</xdr:col>
      <xdr:colOff>600807</xdr:colOff>
      <xdr:row>13</xdr:row>
      <xdr:rowOff>87923</xdr:rowOff>
    </xdr:from>
    <xdr:to>
      <xdr:col>4</xdr:col>
      <xdr:colOff>284284</xdr:colOff>
      <xdr:row>18</xdr:row>
      <xdr:rowOff>123092</xdr:rowOff>
    </xdr:to>
    <xdr:pic>
      <xdr:nvPicPr>
        <xdr:cNvPr id="13" name="Graphic 12" descr="User with solid fill">
          <a:extLst>
            <a:ext uri="{FF2B5EF4-FFF2-40B4-BE49-F238E27FC236}">
              <a16:creationId xmlns:a16="http://schemas.microsoft.com/office/drawing/2014/main" id="{B504BD4F-0241-6E05-D478-6E6637AF7B1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31730" y="2373923"/>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rnima B G" refreshedDate="46217.684833796295" createdVersion="8" refreshedVersion="8" minRefreshableVersion="3" recordCount="10" xr:uid="{05B31D43-785F-48C4-B3CA-211FC22A009F}">
  <cacheSource type="worksheet">
    <worksheetSource ref="A1:G11" sheet="MASTERDATA"/>
  </cacheSource>
  <cacheFields count="9">
    <cacheField name="Date" numFmtId="14">
      <sharedItems containsSemiMixedTypes="0" containsNonDate="0" containsDate="1" containsString="0" minDate="2020-01-01T00:00:00" maxDate="2020-02-07T00:00:00" count="10">
        <d v="2020-01-01T00:00:00"/>
        <d v="2020-01-05T00:00:00"/>
        <d v="2020-01-09T00:00:00"/>
        <d v="2020-01-13T00:00:00"/>
        <d v="2020-01-17T00:00:00"/>
        <d v="2020-01-21T00:00:00"/>
        <d v="2020-01-25T00:00:00"/>
        <d v="2020-01-29T00:00:00"/>
        <d v="2020-02-02T00:00:00"/>
        <d v="2020-02-06T00:00:00"/>
      </sharedItems>
      <fieldGroup par="8"/>
    </cacheField>
    <cacheField name="Sales Persons" numFmtId="0">
      <sharedItems count="5">
        <s v="Ramesh"/>
        <s v="Kiran"/>
        <s v="Gopi"/>
        <s v="Mahesh"/>
        <s v="Ganesh"/>
      </sharedItems>
    </cacheField>
    <cacheField name="Products" numFmtId="0">
      <sharedItems count="6">
        <s v="Furniture"/>
        <s v="LED TV's"/>
        <s v="4K LED TV's"/>
        <s v="Mobiles"/>
        <s v="Laptops"/>
        <s v="Speakers"/>
      </sharedItems>
    </cacheField>
    <cacheField name="Place" numFmtId="0">
      <sharedItems count="5">
        <s v="Guntur"/>
        <s v="Vijayawada"/>
        <s v="Bapatla"/>
        <s v="Tenali"/>
        <s v="Chirala"/>
      </sharedItems>
    </cacheField>
    <cacheField name="Price" numFmtId="0">
      <sharedItems containsSemiMixedTypes="0" containsString="0" containsNumber="1" containsInteger="1" minValue="499" maxValue="86000"/>
    </cacheField>
    <cacheField name="Units" numFmtId="0">
      <sharedItems containsSemiMixedTypes="0" containsString="0" containsNumber="1" containsInteger="1" minValue="9" maxValue="50"/>
    </cacheField>
    <cacheField name="Amount" numFmtId="3">
      <sharedItems containsSemiMixedTypes="0" containsString="0" containsNumber="1" containsInteger="1" minValue="8910" maxValue="4250000"/>
    </cacheField>
    <cacheField name="Days (Date)" numFmtId="0" databaseField="0">
      <fieldGroup base="0">
        <rangePr groupBy="days" startDate="2020-01-01T00:00:00" endDate="2020-02-07T00:00:00"/>
        <groupItems count="368">
          <s v="&lt;01-01-20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2-2020"/>
        </groupItems>
      </fieldGroup>
    </cacheField>
    <cacheField name="Months (Date)" numFmtId="0" databaseField="0">
      <fieldGroup base="0">
        <rangePr groupBy="months" startDate="2020-01-01T00:00:00" endDate="2020-02-07T00:00:00"/>
        <groupItems count="14">
          <s v="&lt;01-01-2020"/>
          <s v="Jan"/>
          <s v="Feb"/>
          <s v="Mar"/>
          <s v="Apr"/>
          <s v="May"/>
          <s v="Jun"/>
          <s v="Jul"/>
          <s v="Aug"/>
          <s v="Sep"/>
          <s v="Oct"/>
          <s v="Nov"/>
          <s v="Dec"/>
          <s v="&gt;07-02-2020"/>
        </groupItems>
      </fieldGroup>
    </cacheField>
  </cacheFields>
  <extLst>
    <ext xmlns:x14="http://schemas.microsoft.com/office/spreadsheetml/2009/9/main" uri="{725AE2AE-9491-48be-B2B4-4EB974FC3084}">
      <x14:pivotCacheDefinition pivotCacheId="16786351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n v="499"/>
    <n v="50"/>
    <n v="24950"/>
  </r>
  <r>
    <x v="1"/>
    <x v="1"/>
    <x v="0"/>
    <x v="1"/>
    <n v="5599"/>
    <n v="33"/>
    <n v="184767"/>
  </r>
  <r>
    <x v="2"/>
    <x v="2"/>
    <x v="1"/>
    <x v="2"/>
    <n v="1450"/>
    <n v="44"/>
    <n v="63800"/>
  </r>
  <r>
    <x v="3"/>
    <x v="3"/>
    <x v="2"/>
    <x v="0"/>
    <n v="85000"/>
    <n v="50"/>
    <n v="4250000"/>
  </r>
  <r>
    <x v="4"/>
    <x v="3"/>
    <x v="3"/>
    <x v="3"/>
    <n v="15000"/>
    <n v="11"/>
    <n v="165000"/>
  </r>
  <r>
    <x v="5"/>
    <x v="1"/>
    <x v="0"/>
    <x v="3"/>
    <n v="2550"/>
    <n v="48"/>
    <n v="122400"/>
  </r>
  <r>
    <x v="6"/>
    <x v="4"/>
    <x v="4"/>
    <x v="2"/>
    <n v="33000"/>
    <n v="26"/>
    <n v="858000"/>
  </r>
  <r>
    <x v="7"/>
    <x v="0"/>
    <x v="2"/>
    <x v="4"/>
    <n v="86000"/>
    <n v="39"/>
    <n v="3354000"/>
  </r>
  <r>
    <x v="8"/>
    <x v="2"/>
    <x v="5"/>
    <x v="3"/>
    <n v="990"/>
    <n v="9"/>
    <n v="8910"/>
  </r>
  <r>
    <x v="9"/>
    <x v="0"/>
    <x v="0"/>
    <x v="0"/>
    <n v="5599"/>
    <n v="41"/>
    <n v="2295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1FC98C-007F-4724-8E74-0E5A38A77F8D}"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0">
  <location ref="A144:B148" firstHeaderRow="1" firstDataRow="1" firstDataCol="1"/>
  <pivotFields count="9">
    <pivotField numFmtId="14" showAll="0">
      <items count="11">
        <item x="0"/>
        <item x="1"/>
        <item x="2"/>
        <item x="3"/>
        <item x="4"/>
        <item x="5"/>
        <item x="6"/>
        <item x="7"/>
        <item x="8"/>
        <item x="9"/>
        <item t="default"/>
      </items>
    </pivotField>
    <pivotField showAll="0">
      <items count="6">
        <item x="4"/>
        <item x="2"/>
        <item x="1"/>
        <item x="3"/>
        <item x="0"/>
        <item t="default"/>
      </items>
    </pivotField>
    <pivotField axis="axisRow" showAll="0" measureFilter="1">
      <items count="7">
        <item x="2"/>
        <item x="0"/>
        <item x="4"/>
        <item x="1"/>
        <item x="3"/>
        <item x="5"/>
        <item t="default"/>
      </items>
    </pivotField>
    <pivotField showAll="0">
      <items count="6">
        <item x="2"/>
        <item x="4"/>
        <item x="0"/>
        <item x="3"/>
        <item x="1"/>
        <item t="default"/>
      </items>
    </pivotField>
    <pivotField showAll="0"/>
    <pivotField dataField="1"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2"/>
  </rowFields>
  <rowItems count="4">
    <i>
      <x/>
    </i>
    <i>
      <x v="1"/>
    </i>
    <i>
      <x v="3"/>
    </i>
    <i t="grand">
      <x/>
    </i>
  </rowItems>
  <colItems count="1">
    <i/>
  </colItems>
  <dataFields count="1">
    <dataField name="Sum of Units" fld="5" baseField="0" baseItem="0"/>
  </dataFields>
  <chartFormats count="7">
    <chartFormat chart="61"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 chart="75" format="0" series="1">
      <pivotArea type="data" outline="0" fieldPosition="0">
        <references count="1">
          <reference field="4294967294" count="1" selected="0">
            <x v="0"/>
          </reference>
        </references>
      </pivotArea>
    </chartFormat>
    <chartFormat chart="7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523A0B-48F9-4122-82A9-DEF954B9D950}"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2">
  <location ref="A103:B107" firstHeaderRow="1" firstDataRow="1" firstDataCol="1"/>
  <pivotFields count="9">
    <pivotField numFmtId="14" showAll="0">
      <items count="11">
        <item x="0"/>
        <item x="1"/>
        <item x="2"/>
        <item x="3"/>
        <item x="4"/>
        <item x="5"/>
        <item x="6"/>
        <item x="7"/>
        <item x="8"/>
        <item x="9"/>
        <item t="default"/>
      </items>
    </pivotField>
    <pivotField axis="axisRow" showAll="0" measureFilter="1" sortType="ascending">
      <items count="6">
        <item x="4"/>
        <item x="2"/>
        <item x="1"/>
        <item x="3"/>
        <item x="0"/>
        <item t="default"/>
      </items>
      <autoSortScope>
        <pivotArea dataOnly="0" outline="0" fieldPosition="0">
          <references count="1">
            <reference field="4294967294" count="1" selected="0">
              <x v="0"/>
            </reference>
          </references>
        </pivotArea>
      </autoSortScope>
    </pivotField>
    <pivotField showAll="0">
      <items count="7">
        <item x="2"/>
        <item x="0"/>
        <item x="4"/>
        <item x="1"/>
        <item x="3"/>
        <item x="5"/>
        <item t="default"/>
      </items>
    </pivotField>
    <pivotField showAll="0">
      <items count="6">
        <item x="2"/>
        <item x="4"/>
        <item x="0"/>
        <item x="3"/>
        <item x="1"/>
        <item t="default"/>
      </items>
    </pivotField>
    <pivotField showAll="0"/>
    <pivotField dataField="1"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1"/>
  </rowFields>
  <rowItems count="4">
    <i>
      <x v="3"/>
    </i>
    <i>
      <x v="2"/>
    </i>
    <i>
      <x v="4"/>
    </i>
    <i t="grand">
      <x/>
    </i>
  </rowItems>
  <colItems count="1">
    <i/>
  </colItems>
  <dataFields count="1">
    <dataField name="Sum of Units" fld="5" baseField="0" baseItem="0"/>
  </dataFields>
  <chartFormats count="2">
    <chartFormat chart="63" format="0" series="1">
      <pivotArea type="data" outline="0" fieldPosition="0">
        <references count="1">
          <reference field="4294967294" count="1" selected="0">
            <x v="0"/>
          </reference>
        </references>
      </pivotArea>
    </chartFormat>
    <chartFormat chart="6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2CD0B3-06F3-4AAA-BBEC-B3A38C7A9F7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7">
  <location ref="A1:B4" firstHeaderRow="1" firstDataRow="1" firstDataCol="1"/>
  <pivotFields count="9">
    <pivotField numFmtId="14" showAll="0">
      <items count="11">
        <item x="0"/>
        <item x="1"/>
        <item x="2"/>
        <item x="3"/>
        <item x="4"/>
        <item x="5"/>
        <item x="6"/>
        <item x="7"/>
        <item x="8"/>
        <item x="9"/>
        <item t="default"/>
      </items>
    </pivotField>
    <pivotField showAll="0"/>
    <pivotField showAll="0"/>
    <pivotField showAll="0">
      <items count="6">
        <item x="2"/>
        <item x="4"/>
        <item x="0"/>
        <item x="3"/>
        <item x="1"/>
        <item t="default"/>
      </items>
    </pivotField>
    <pivotField showAll="0"/>
    <pivotField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1">
    <field x="8"/>
  </rowFields>
  <rowItems count="3">
    <i>
      <x v="1"/>
    </i>
    <i>
      <x v="2"/>
    </i>
    <i t="grand">
      <x/>
    </i>
  </rowItems>
  <colItems count="1">
    <i/>
  </colItems>
  <dataFields count="1">
    <dataField name="Sum of Amount" fld="6" baseField="0" baseItem="0" numFmtId="3"/>
  </dataFields>
  <chartFormats count="8">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428739-74C2-4EEF-B21C-A2FD632FE4E1}"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3">
  <location ref="A158:B165" firstHeaderRow="1" firstDataRow="1" firstDataCol="1"/>
  <pivotFields count="9">
    <pivotField numFmtId="14" showAll="0">
      <items count="11">
        <item x="0"/>
        <item x="1"/>
        <item x="2"/>
        <item x="3"/>
        <item x="4"/>
        <item x="5"/>
        <item x="6"/>
        <item x="7"/>
        <item x="8"/>
        <item x="9"/>
        <item t="default"/>
      </items>
    </pivotField>
    <pivotField showAll="0">
      <items count="6">
        <item x="4"/>
        <item x="2"/>
        <item x="1"/>
        <item x="3"/>
        <item x="0"/>
        <item t="default"/>
      </items>
    </pivotField>
    <pivotField axis="axisRow" showAll="0">
      <items count="7">
        <item x="2"/>
        <item x="0"/>
        <item x="4"/>
        <item x="1"/>
        <item x="3"/>
        <item x="5"/>
        <item t="default"/>
      </items>
    </pivotField>
    <pivotField showAll="0">
      <items count="6">
        <item x="2"/>
        <item x="4"/>
        <item x="0"/>
        <item x="3"/>
        <item x="1"/>
        <item t="default"/>
      </items>
    </pivotField>
    <pivotField showAll="0"/>
    <pivotField dataField="1"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2"/>
  </rowFields>
  <rowItems count="7">
    <i>
      <x/>
    </i>
    <i>
      <x v="1"/>
    </i>
    <i>
      <x v="2"/>
    </i>
    <i>
      <x v="3"/>
    </i>
    <i>
      <x v="4"/>
    </i>
    <i>
      <x v="5"/>
    </i>
    <i t="grand">
      <x/>
    </i>
  </rowItems>
  <colItems count="1">
    <i/>
  </colItems>
  <dataFields count="1">
    <dataField name="Sum of Units" fld="5" baseField="0" baseItem="0"/>
  </dataFields>
  <chartFormats count="12">
    <chartFormat chart="61"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 chart="75" format="0" series="1">
      <pivotArea type="data" outline="0" fieldPosition="0">
        <references count="1">
          <reference field="4294967294" count="1" selected="0">
            <x v="0"/>
          </reference>
        </references>
      </pivotArea>
    </chartFormat>
    <chartFormat chart="79" format="2" series="1">
      <pivotArea type="data" outline="0" fieldPosition="0">
        <references count="1">
          <reference field="4294967294" count="1" selected="0">
            <x v="0"/>
          </reference>
        </references>
      </pivotArea>
    </chartFormat>
    <chartFormat chart="80" format="0" series="1">
      <pivotArea type="data" outline="0" fieldPosition="0">
        <references count="1">
          <reference field="4294967294" count="1" selected="0">
            <x v="0"/>
          </reference>
        </references>
      </pivotArea>
    </chartFormat>
    <chartFormat chart="83" format="2" series="1">
      <pivotArea type="data" outline="0" fieldPosition="0">
        <references count="1">
          <reference field="4294967294" count="1" selected="0">
            <x v="0"/>
          </reference>
        </references>
      </pivotArea>
    </chartFormat>
    <chartFormat chart="84" format="0" series="1">
      <pivotArea type="data" outline="0" fieldPosition="0">
        <references count="1">
          <reference field="4294967294" count="1" selected="0">
            <x v="0"/>
          </reference>
        </references>
      </pivotArea>
    </chartFormat>
    <chartFormat chart="86" format="1" series="1">
      <pivotArea type="data" outline="0" fieldPosition="0">
        <references count="1">
          <reference field="4294967294" count="1" selected="0">
            <x v="0"/>
          </reference>
        </references>
      </pivotArea>
    </chartFormat>
    <chartFormat chart="9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30B2A1-8C61-41C8-A6B3-6991F5A07E1B}"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5">
  <location ref="A129:B135" firstHeaderRow="1" firstDataRow="1" firstDataCol="1"/>
  <pivotFields count="9">
    <pivotField numFmtId="14" showAll="0">
      <items count="11">
        <item x="0"/>
        <item x="1"/>
        <item x="2"/>
        <item x="3"/>
        <item x="4"/>
        <item x="5"/>
        <item x="6"/>
        <item x="7"/>
        <item x="8"/>
        <item x="9"/>
        <item t="default"/>
      </items>
    </pivotField>
    <pivotField axis="axisRow" showAll="0">
      <items count="6">
        <item x="4"/>
        <item x="2"/>
        <item x="1"/>
        <item x="3"/>
        <item x="0"/>
        <item t="default"/>
      </items>
    </pivotField>
    <pivotField showAll="0">
      <items count="7">
        <item x="2"/>
        <item x="0"/>
        <item x="4"/>
        <item x="1"/>
        <item x="3"/>
        <item x="5"/>
        <item t="default"/>
      </items>
    </pivotField>
    <pivotField showAll="0">
      <items count="6">
        <item x="2"/>
        <item x="4"/>
        <item x="0"/>
        <item x="3"/>
        <item x="1"/>
        <item t="default"/>
      </items>
    </pivotField>
    <pivotField showAll="0"/>
    <pivotField dataField="1"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1"/>
  </rowFields>
  <rowItems count="6">
    <i>
      <x/>
    </i>
    <i>
      <x v="1"/>
    </i>
    <i>
      <x v="2"/>
    </i>
    <i>
      <x v="3"/>
    </i>
    <i>
      <x v="4"/>
    </i>
    <i t="grand">
      <x/>
    </i>
  </rowItems>
  <colItems count="1">
    <i/>
  </colItems>
  <dataFields count="1">
    <dataField name="Sum of Units" fld="5" baseField="0" baseItem="0"/>
  </dataFields>
  <chartFormats count="5">
    <chartFormat chart="61"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AA9C10-BD23-4F22-8A54-E73364691902}"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9">
  <location ref="J12:K18" firstHeaderRow="1" firstDataRow="1" firstDataCol="1"/>
  <pivotFields count="9">
    <pivotField numFmtId="14" showAll="0">
      <items count="11">
        <item x="0"/>
        <item x="1"/>
        <item x="2"/>
        <item x="3"/>
        <item x="4"/>
        <item x="5"/>
        <item x="6"/>
        <item x="7"/>
        <item x="8"/>
        <item x="9"/>
        <item t="default"/>
      </items>
    </pivotField>
    <pivotField showAll="0"/>
    <pivotField showAll="0">
      <items count="7">
        <item x="2"/>
        <item x="0"/>
        <item x="4"/>
        <item x="1"/>
        <item x="3"/>
        <item x="5"/>
        <item t="default"/>
      </items>
    </pivotField>
    <pivotField axis="axisRow" showAll="0">
      <items count="6">
        <item x="2"/>
        <item x="4"/>
        <item x="0"/>
        <item x="3"/>
        <item x="1"/>
        <item t="default"/>
      </items>
    </pivotField>
    <pivotField showAll="0"/>
    <pivotField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3"/>
  </rowFields>
  <rowItems count="6">
    <i>
      <x/>
    </i>
    <i>
      <x v="1"/>
    </i>
    <i>
      <x v="2"/>
    </i>
    <i>
      <x v="3"/>
    </i>
    <i>
      <x v="4"/>
    </i>
    <i t="grand">
      <x/>
    </i>
  </rowItems>
  <colItems count="1">
    <i/>
  </colItems>
  <dataFields count="1">
    <dataField name="Sum of Amount" fld="6" baseField="0" baseItem="0" numFmtId="3"/>
  </dataFields>
  <chartFormats count="5">
    <chartFormat chart="56"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 chart="62" format="4" series="1">
      <pivotArea type="data" outline="0" fieldPosition="0">
        <references count="1">
          <reference field="4294967294" count="1" selected="0">
            <x v="0"/>
          </reference>
        </references>
      </pivotArea>
    </chartFormat>
    <chartFormat chart="63" format="4" series="1">
      <pivotArea type="data" outline="0" fieldPosition="0">
        <references count="1">
          <reference field="4294967294" count="1" selected="0">
            <x v="0"/>
          </reference>
        </references>
      </pivotArea>
    </chartFormat>
    <chartFormat chart="6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E5FB8B-3BA3-4A8E-8011-3D1C897C20BE}"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3">
  <location ref="A90:B97" firstHeaderRow="1" firstDataRow="1" firstDataCol="1"/>
  <pivotFields count="9">
    <pivotField numFmtId="14" showAll="0">
      <items count="11">
        <item x="0"/>
        <item x="1"/>
        <item x="2"/>
        <item x="3"/>
        <item x="4"/>
        <item x="5"/>
        <item x="6"/>
        <item x="7"/>
        <item x="8"/>
        <item x="9"/>
        <item t="default"/>
      </items>
    </pivotField>
    <pivotField showAll="0">
      <items count="6">
        <item x="4"/>
        <item x="2"/>
        <item x="1"/>
        <item x="3"/>
        <item x="0"/>
        <item t="default"/>
      </items>
    </pivotField>
    <pivotField axis="axisRow" showAll="0">
      <items count="7">
        <item x="2"/>
        <item x="0"/>
        <item x="4"/>
        <item x="1"/>
        <item x="3"/>
        <item x="5"/>
        <item t="default"/>
      </items>
    </pivotField>
    <pivotField showAll="0">
      <items count="6">
        <item x="2"/>
        <item x="4"/>
        <item x="0"/>
        <item x="3"/>
        <item x="1"/>
        <item t="default"/>
      </items>
    </pivotField>
    <pivotField showAll="0"/>
    <pivotField dataField="1"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2"/>
  </rowFields>
  <rowItems count="7">
    <i>
      <x/>
    </i>
    <i>
      <x v="1"/>
    </i>
    <i>
      <x v="2"/>
    </i>
    <i>
      <x v="3"/>
    </i>
    <i>
      <x v="4"/>
    </i>
    <i>
      <x v="5"/>
    </i>
    <i t="grand">
      <x/>
    </i>
  </rowItems>
  <colItems count="1">
    <i/>
  </colItems>
  <dataFields count="1">
    <dataField name="Sum of Units" fld="5" baseField="0" baseItem="0"/>
  </dataFields>
  <chartFormats count="1">
    <chartFormat chart="6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EB0A01-35D2-41DB-9355-B44AA0860958}"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4">
  <location ref="A151:B155" firstHeaderRow="1" firstDataRow="1" firstDataCol="1"/>
  <pivotFields count="9">
    <pivotField numFmtId="14" showAll="0">
      <items count="11">
        <item x="0"/>
        <item x="1"/>
        <item x="2"/>
        <item x="3"/>
        <item x="4"/>
        <item x="5"/>
        <item x="6"/>
        <item x="7"/>
        <item x="8"/>
        <item x="9"/>
        <item t="default"/>
      </items>
    </pivotField>
    <pivotField showAll="0">
      <items count="6">
        <item x="4"/>
        <item x="2"/>
        <item x="1"/>
        <item x="3"/>
        <item x="0"/>
        <item t="default"/>
      </items>
    </pivotField>
    <pivotField axis="axisRow" showAll="0" measureFilter="1">
      <items count="7">
        <item x="2"/>
        <item x="0"/>
        <item x="4"/>
        <item x="1"/>
        <item x="3"/>
        <item x="5"/>
        <item t="default"/>
      </items>
    </pivotField>
    <pivotField showAll="0">
      <items count="6">
        <item x="2"/>
        <item x="4"/>
        <item x="0"/>
        <item x="3"/>
        <item x="1"/>
        <item t="default"/>
      </items>
    </pivotField>
    <pivotField showAll="0"/>
    <pivotField dataField="1"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2"/>
  </rowFields>
  <rowItems count="4">
    <i>
      <x v="2"/>
    </i>
    <i>
      <x v="4"/>
    </i>
    <i>
      <x v="5"/>
    </i>
    <i t="grand">
      <x/>
    </i>
  </rowItems>
  <colItems count="1">
    <i/>
  </colItems>
  <dataFields count="1">
    <dataField name="Sum of Units" fld="5" baseField="0" baseItem="0"/>
  </dataFields>
  <chartFormats count="9">
    <chartFormat chart="61"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 chart="75" format="0" series="1">
      <pivotArea type="data" outline="0" fieldPosition="0">
        <references count="1">
          <reference field="4294967294" count="1" selected="0">
            <x v="0"/>
          </reference>
        </references>
      </pivotArea>
    </chartFormat>
    <chartFormat chart="79" format="2" series="1">
      <pivotArea type="data" outline="0" fieldPosition="0">
        <references count="1">
          <reference field="4294967294" count="1" selected="0">
            <x v="0"/>
          </reference>
        </references>
      </pivotArea>
    </chartFormat>
    <chartFormat chart="80" format="0" series="1">
      <pivotArea type="data" outline="0" fieldPosition="0">
        <references count="1">
          <reference field="4294967294" count="1" selected="0">
            <x v="0"/>
          </reference>
        </references>
      </pivotArea>
    </chartFormat>
    <chartFormat chart="8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2944AB-53FB-4C50-B59F-70E130CE7FAA}"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0">
  <location ref="A112:B116" firstHeaderRow="1" firstDataRow="1" firstDataCol="1"/>
  <pivotFields count="9">
    <pivotField numFmtId="14" showAll="0">
      <items count="11">
        <item x="0"/>
        <item x="1"/>
        <item x="2"/>
        <item x="3"/>
        <item x="4"/>
        <item x="5"/>
        <item x="6"/>
        <item x="7"/>
        <item x="8"/>
        <item x="9"/>
        <item t="default"/>
      </items>
    </pivotField>
    <pivotField axis="axisRow" showAll="0" measureFilter="1">
      <items count="6">
        <item x="4"/>
        <item x="2"/>
        <item x="1"/>
        <item x="3"/>
        <item x="0"/>
        <item t="default"/>
      </items>
    </pivotField>
    <pivotField showAll="0">
      <items count="7">
        <item x="2"/>
        <item x="0"/>
        <item x="4"/>
        <item x="1"/>
        <item x="3"/>
        <item x="5"/>
        <item t="default"/>
      </items>
    </pivotField>
    <pivotField showAll="0">
      <items count="6">
        <item x="2"/>
        <item x="4"/>
        <item x="0"/>
        <item x="3"/>
        <item x="1"/>
        <item t="default"/>
      </items>
    </pivotField>
    <pivotField showAll="0"/>
    <pivotField dataField="1"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1"/>
  </rowFields>
  <rowItems count="4">
    <i>
      <x/>
    </i>
    <i>
      <x v="1"/>
    </i>
    <i>
      <x v="3"/>
    </i>
    <i t="grand">
      <x/>
    </i>
  </rowItems>
  <colItems count="1">
    <i/>
  </colItems>
  <dataFields count="1">
    <dataField name="Sum of Units" fld="5" baseField="0" baseItem="0"/>
  </dataFields>
  <chartFormats count="3">
    <chartFormat chart="61"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63F963-B222-42D1-8B72-8351FB8BA1E8}"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1">
  <location ref="A81:B88" firstHeaderRow="1" firstDataRow="1" firstDataCol="1"/>
  <pivotFields count="9">
    <pivotField numFmtId="14" showAll="0">
      <items count="11">
        <item x="0"/>
        <item x="1"/>
        <item x="2"/>
        <item x="3"/>
        <item x="4"/>
        <item x="5"/>
        <item x="6"/>
        <item x="7"/>
        <item x="8"/>
        <item x="9"/>
        <item t="default"/>
      </items>
    </pivotField>
    <pivotField showAll="0">
      <items count="6">
        <item x="4"/>
        <item x="2"/>
        <item x="1"/>
        <item x="3"/>
        <item x="0"/>
        <item t="default"/>
      </items>
    </pivotField>
    <pivotField axis="axisRow" showAll="0">
      <items count="7">
        <item x="2"/>
        <item x="0"/>
        <item x="4"/>
        <item x="1"/>
        <item x="3"/>
        <item x="5"/>
        <item t="default"/>
      </items>
    </pivotField>
    <pivotField showAll="0">
      <items count="6">
        <item x="2"/>
        <item x="4"/>
        <item x="0"/>
        <item x="3"/>
        <item x="1"/>
        <item t="default"/>
      </items>
    </pivotField>
    <pivotField showAll="0"/>
    <pivotField dataField="1"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2"/>
  </rowFields>
  <rowItems count="7">
    <i>
      <x/>
    </i>
    <i>
      <x v="1"/>
    </i>
    <i>
      <x v="2"/>
    </i>
    <i>
      <x v="3"/>
    </i>
    <i>
      <x v="4"/>
    </i>
    <i>
      <x v="5"/>
    </i>
    <i t="grand">
      <x/>
    </i>
  </rowItems>
  <colItems count="1">
    <i/>
  </colItems>
  <dataFields count="1">
    <dataField name="Sum of 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0609FD-4A74-4426-BE0F-BDB36CFA97A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7:A8" firstHeaderRow="1" firstDataRow="1" firstDataCol="0"/>
  <pivotFields count="9">
    <pivotField numFmtId="14" showAll="0">
      <items count="11">
        <item x="0"/>
        <item x="1"/>
        <item x="2"/>
        <item x="3"/>
        <item x="4"/>
        <item x="5"/>
        <item x="6"/>
        <item x="7"/>
        <item x="8"/>
        <item x="9"/>
        <item t="default"/>
      </items>
    </pivotField>
    <pivotField showAll="0"/>
    <pivotField showAll="0">
      <items count="7">
        <item x="2"/>
        <item x="0"/>
        <item x="4"/>
        <item x="1"/>
        <item x="3"/>
        <item x="5"/>
        <item t="default"/>
      </items>
    </pivotField>
    <pivotField showAll="0"/>
    <pivotField showAll="0"/>
    <pivotField showAll="0"/>
    <pivotField dataField="1" numFmtId="3"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Items count="1">
    <i/>
  </rowItems>
  <colItems count="1">
    <i/>
  </colItems>
  <dataFields count="1">
    <dataField name="Sum of Amount" fld="6" baseField="0" baseItem="0" numFmtId="3"/>
  </dataFields>
  <chartFormats count="2">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0" name="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9EB52E-2658-459A-8493-1ABACF5B4144}"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1">
  <location ref="A71:B78" firstHeaderRow="1" firstDataRow="1" firstDataCol="1"/>
  <pivotFields count="9">
    <pivotField numFmtId="14" showAll="0">
      <items count="11">
        <item x="0"/>
        <item x="1"/>
        <item x="2"/>
        <item x="3"/>
        <item x="4"/>
        <item x="5"/>
        <item x="6"/>
        <item x="7"/>
        <item x="8"/>
        <item x="9"/>
        <item t="default"/>
      </items>
    </pivotField>
    <pivotField showAll="0">
      <items count="6">
        <item x="4"/>
        <item x="2"/>
        <item x="1"/>
        <item x="3"/>
        <item x="0"/>
        <item t="default"/>
      </items>
    </pivotField>
    <pivotField axis="axisRow" showAll="0">
      <items count="7">
        <item x="2"/>
        <item x="0"/>
        <item x="4"/>
        <item x="1"/>
        <item x="3"/>
        <item x="5"/>
        <item t="default"/>
      </items>
    </pivotField>
    <pivotField showAll="0">
      <items count="6">
        <item x="2"/>
        <item x="4"/>
        <item x="0"/>
        <item x="3"/>
        <item x="1"/>
        <item t="default"/>
      </items>
    </pivotField>
    <pivotField showAll="0"/>
    <pivotField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2"/>
  </rowFields>
  <rowItems count="7">
    <i>
      <x/>
    </i>
    <i>
      <x v="1"/>
    </i>
    <i>
      <x v="2"/>
    </i>
    <i>
      <x v="3"/>
    </i>
    <i>
      <x v="4"/>
    </i>
    <i>
      <x v="5"/>
    </i>
    <i t="grand">
      <x/>
    </i>
  </rowItems>
  <colItems count="1">
    <i/>
  </colItems>
  <dataFields count="1">
    <dataField name="Sum of Amount" fld="6" baseField="0" baseItem="0" numFmtId="3"/>
  </dataFields>
  <chartFormats count="2">
    <chartFormat chart="56"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EDB8B8F-4966-4D80-B6A3-B47E813C9D5C}"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1">
  <location ref="A99:A100" firstHeaderRow="1" firstDataRow="1" firstDataCol="0"/>
  <pivotFields count="9">
    <pivotField numFmtId="14" showAll="0">
      <items count="11">
        <item x="0"/>
        <item x="1"/>
        <item x="2"/>
        <item x="3"/>
        <item x="4"/>
        <item x="5"/>
        <item x="6"/>
        <item x="7"/>
        <item x="8"/>
        <item x="9"/>
        <item t="default"/>
      </items>
    </pivotField>
    <pivotField showAll="0">
      <items count="6">
        <item x="4"/>
        <item x="2"/>
        <item x="1"/>
        <item x="3"/>
        <item x="0"/>
        <item t="default"/>
      </items>
    </pivotField>
    <pivotField showAll="0">
      <items count="7">
        <item x="2"/>
        <item x="0"/>
        <item x="4"/>
        <item x="1"/>
        <item x="3"/>
        <item x="5"/>
        <item t="default"/>
      </items>
    </pivotField>
    <pivotField showAll="0">
      <items count="6">
        <item x="2"/>
        <item x="4"/>
        <item x="0"/>
        <item x="3"/>
        <item x="1"/>
        <item t="default"/>
      </items>
    </pivotField>
    <pivotField showAll="0"/>
    <pivotField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Items count="1">
    <i/>
  </rowItems>
  <colItems count="1">
    <i/>
  </colItems>
  <dataFields count="1">
    <dataField name="Sum of Amount" fld="6" baseField="0" baseItem="0" numFmtId="3"/>
  </dataFields>
  <chartFormats count="2">
    <chartFormat chart="56"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34A0477-BD7D-4ADB-A4E7-C74505BB68A8}"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4">
  <location ref="J2:K9" firstHeaderRow="1" firstDataRow="1" firstDataCol="1"/>
  <pivotFields count="9">
    <pivotField numFmtId="14" showAll="0">
      <items count="11">
        <item x="0"/>
        <item x="1"/>
        <item x="2"/>
        <item x="3"/>
        <item x="4"/>
        <item x="5"/>
        <item x="6"/>
        <item x="7"/>
        <item x="8"/>
        <item x="9"/>
        <item t="default"/>
      </items>
    </pivotField>
    <pivotField showAll="0"/>
    <pivotField axis="axisRow" showAll="0">
      <items count="7">
        <item x="2"/>
        <item x="0"/>
        <item x="4"/>
        <item x="1"/>
        <item x="3"/>
        <item x="5"/>
        <item t="default"/>
      </items>
    </pivotField>
    <pivotField showAll="0">
      <items count="6">
        <item x="2"/>
        <item x="4"/>
        <item x="0"/>
        <item x="3"/>
        <item x="1"/>
        <item t="default"/>
      </items>
    </pivotField>
    <pivotField showAll="0"/>
    <pivotField dataField="1"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sd="0"/>
      </items>
    </pivotField>
  </pivotFields>
  <rowFields count="1">
    <field x="2"/>
  </rowFields>
  <rowItems count="7">
    <i>
      <x/>
    </i>
    <i>
      <x v="1"/>
    </i>
    <i>
      <x v="2"/>
    </i>
    <i>
      <x v="3"/>
    </i>
    <i>
      <x v="4"/>
    </i>
    <i>
      <x v="5"/>
    </i>
    <i t="grand">
      <x/>
    </i>
  </rowItems>
  <colItems count="1">
    <i/>
  </colItems>
  <dataFields count="1">
    <dataField name="Sum of Units" fld="5" baseField="0" baseItem="0"/>
  </dataFields>
  <chartFormats count="4">
    <chartFormat chart="51"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7" format="4" series="1">
      <pivotArea type="data" outline="0" fieldPosition="0">
        <references count="1">
          <reference field="4294967294" count="1" selected="0">
            <x v="0"/>
          </reference>
        </references>
      </pivotArea>
    </chartFormat>
    <chartFormat chart="5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107EF772-31EA-421C-B32C-C4D7CD75B492}" sourceName="Place">
  <pivotTables>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 tabId="2" name="PivotTable13"/>
    <pivotTable tabId="2" name="PivotTable14"/>
  </pivotTables>
  <data>
    <tabular pivotCacheId="1678635150">
      <items count="5">
        <i x="2" s="1"/>
        <i x="4"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20917665-24FB-445B-99AB-3D64C64CCC37}" sourceName="Products">
  <pivotTables>
    <pivotTable tabId="2" name="PivotTable2"/>
  </pivotTables>
  <data>
    <tabular pivotCacheId="1678635150">
      <items count="6">
        <i x="2" s="1"/>
        <i x="0" s="1"/>
        <i x="4"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xr10:uid="{B5149DD7-DA36-4B4A-A5F3-8A94B8F80F53}" cache="Slicer_Place" caption="Place" columnCount="2" rowHeight="247650"/>
  <slicer name="Products" xr10:uid="{E1E907CF-B994-4850-8498-E2427559D0E2}" cache="Slicer_Products" caption="Products" columnCount="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1" xr10:uid="{AF9A09A8-6040-493D-AA19-362A6865D76E}" cache="Slicer_Place" caption="Place" columnCount="2" rowHeight="247650"/>
  <slicer name="Products 1" xr10:uid="{AF5B2E9F-4922-4E60-B6A6-F3AB23E0135F}" cache="Slicer_Products" caption="Products" columnCount="6"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3" xr10:uid="{AA2F7292-CF36-4EDC-AD57-A231ECE053D7}" cache="Slicer_Place" caption="Place" columnCount="2" rowHeight="247650"/>
  <slicer name="Products 3" xr10:uid="{BE14A71A-A1B0-4D2A-93D9-2D8198C00EEA}" cache="Slicer_Products" caption="Products" columnCount="6"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2" xr10:uid="{67917C39-AD10-4A07-AC96-5622C5147378}" cache="Slicer_Place" caption="Place" columnCount="2" rowHeight="247650"/>
  <slicer name="Products 2" xr10:uid="{8C3FD018-3B92-4B92-9DB4-BCC8B41CF281}" cache="Slicer_Products" caption="Products" columnCount="6"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4" xr10:uid="{A767AA79-D0CC-4E82-A03C-78872B83C0DC}" cache="Slicer_Place" caption="Place" columnCount="2" rowHeight="247650"/>
  <slicer name="Products 4" xr10:uid="{6E3FEBCB-5A2E-46ED-AA02-E0FF4DA87F94}" cache="Slicer_Products" caption="Products" columnCount="6"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FD470D6-4EB2-471B-A171-E9CA2FC147C4}" sourceName="Date">
  <pivotTables>
    <pivotTable tabId="2" name="PivotTable2"/>
  </pivotTables>
  <state minimalRefreshVersion="6" lastRefreshVersion="6" pivotCacheId="1678635150" filterType="dateBetween">
    <selection startDate="2020-01-01T00:00:00" endDate="2020-12-31T00:00:00"/>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0587B3A-6BE4-4CD6-8935-C8FDEA007B5A}" cache="NativeTimeline_Date" caption="Date" level="2" selectionLevel="0" scrollPosition="2020-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2B21D1F-1A43-4D83-8B33-C6B9AC0D468E}" cache="NativeTimeline_Date" caption="Date" level="2" selectionLevel="0" scrollPosition="2020-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F024DCFC-86F7-461C-82AF-C139DC7268F2}" cache="NativeTimeline_Date" caption="Date" level="2" selectionLevel="0" scrollPosition="2020-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C1F24AFB-CC19-4D42-ABBA-8F6A306F4CBD}" cache="NativeTimeline_Date" caption="Date" level="2" selectionLevel="0" scrollPosition="2020-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210D7EF5-174F-4BFB-8CBF-CCBA5E577BEB}" cache="NativeTimeline_Date" caption="Date" level="2" selectionLevel="0" scrollPosition="2020-01-01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1/relationships/timeline" Target="../timelines/timeline1.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344EF-08C7-435E-873C-7020B4B2529D}">
  <dimension ref="A1:G279"/>
  <sheetViews>
    <sheetView zoomScale="116" workbookViewId="0">
      <selection sqref="A1:G11"/>
    </sheetView>
  </sheetViews>
  <sheetFormatPr defaultRowHeight="13.8"/>
  <cols>
    <col min="1" max="1" width="11.3984375" bestFit="1" customWidth="1"/>
    <col min="2" max="2" width="14" customWidth="1"/>
    <col min="3" max="3" width="14.296875" customWidth="1"/>
    <col min="4" max="4" width="11.69921875" customWidth="1"/>
    <col min="5" max="6" width="9" bestFit="1" customWidth="1"/>
    <col min="7" max="7" width="10.09765625" bestFit="1" customWidth="1"/>
  </cols>
  <sheetData>
    <row r="1" spans="1:7" ht="17.399999999999999">
      <c r="A1" s="1" t="s">
        <v>0</v>
      </c>
      <c r="B1" s="2" t="s">
        <v>1</v>
      </c>
      <c r="C1" s="2" t="s">
        <v>2</v>
      </c>
      <c r="D1" s="2" t="s">
        <v>3</v>
      </c>
      <c r="E1" s="2" t="s">
        <v>4</v>
      </c>
      <c r="F1" s="2" t="s">
        <v>5</v>
      </c>
      <c r="G1" s="2" t="s">
        <v>6</v>
      </c>
    </row>
    <row r="2" spans="1:7" ht="15.6">
      <c r="A2" s="3">
        <v>43831</v>
      </c>
      <c r="B2" s="4" t="s">
        <v>7</v>
      </c>
      <c r="C2" s="4" t="s">
        <v>8</v>
      </c>
      <c r="D2" s="4" t="s">
        <v>9</v>
      </c>
      <c r="E2" s="4">
        <v>499</v>
      </c>
      <c r="F2" s="4">
        <v>50</v>
      </c>
      <c r="G2" s="5">
        <f>E2*F2</f>
        <v>24950</v>
      </c>
    </row>
    <row r="3" spans="1:7" ht="15.6">
      <c r="A3" s="6">
        <v>43835</v>
      </c>
      <c r="B3" s="7" t="s">
        <v>10</v>
      </c>
      <c r="C3" s="7" t="s">
        <v>8</v>
      </c>
      <c r="D3" s="7" t="s">
        <v>11</v>
      </c>
      <c r="E3" s="7">
        <v>5599</v>
      </c>
      <c r="F3" s="7">
        <v>33</v>
      </c>
      <c r="G3" s="8">
        <f t="shared" ref="G3:G66" si="0">E3*F3</f>
        <v>184767</v>
      </c>
    </row>
    <row r="4" spans="1:7" ht="15.6">
      <c r="A4" s="3">
        <v>43839</v>
      </c>
      <c r="B4" s="4" t="s">
        <v>12</v>
      </c>
      <c r="C4" s="4" t="s">
        <v>13</v>
      </c>
      <c r="D4" s="4" t="s">
        <v>14</v>
      </c>
      <c r="E4" s="4">
        <v>1450</v>
      </c>
      <c r="F4" s="4">
        <v>44</v>
      </c>
      <c r="G4" s="5">
        <f t="shared" si="0"/>
        <v>63800</v>
      </c>
    </row>
    <row r="5" spans="1:7" ht="15.6">
      <c r="A5" s="6">
        <v>43843</v>
      </c>
      <c r="B5" s="7" t="s">
        <v>15</v>
      </c>
      <c r="C5" s="7" t="s">
        <v>16</v>
      </c>
      <c r="D5" s="7" t="s">
        <v>9</v>
      </c>
      <c r="E5" s="7">
        <v>85000</v>
      </c>
      <c r="F5" s="7">
        <v>50</v>
      </c>
      <c r="G5" s="8">
        <f t="shared" si="0"/>
        <v>4250000</v>
      </c>
    </row>
    <row r="6" spans="1:7" ht="15.6">
      <c r="A6" s="3">
        <v>43847</v>
      </c>
      <c r="B6" s="4" t="s">
        <v>15</v>
      </c>
      <c r="C6" s="4" t="s">
        <v>17</v>
      </c>
      <c r="D6" s="4" t="s">
        <v>18</v>
      </c>
      <c r="E6" s="4">
        <v>15000</v>
      </c>
      <c r="F6" s="4">
        <v>11</v>
      </c>
      <c r="G6" s="5">
        <f t="shared" si="0"/>
        <v>165000</v>
      </c>
    </row>
    <row r="7" spans="1:7" ht="15.6">
      <c r="A7" s="6">
        <v>43851</v>
      </c>
      <c r="B7" s="7" t="s">
        <v>10</v>
      </c>
      <c r="C7" s="7" t="s">
        <v>8</v>
      </c>
      <c r="D7" s="7" t="s">
        <v>18</v>
      </c>
      <c r="E7" s="7">
        <v>2550</v>
      </c>
      <c r="F7" s="7">
        <v>48</v>
      </c>
      <c r="G7" s="8">
        <f t="shared" si="0"/>
        <v>122400</v>
      </c>
    </row>
    <row r="8" spans="1:7" ht="15.6">
      <c r="A8" s="3">
        <v>43855</v>
      </c>
      <c r="B8" s="4" t="s">
        <v>19</v>
      </c>
      <c r="C8" s="4" t="s">
        <v>20</v>
      </c>
      <c r="D8" s="4" t="s">
        <v>14</v>
      </c>
      <c r="E8" s="4">
        <v>33000</v>
      </c>
      <c r="F8" s="4">
        <v>26</v>
      </c>
      <c r="G8" s="5">
        <f t="shared" si="0"/>
        <v>858000</v>
      </c>
    </row>
    <row r="9" spans="1:7" ht="15.6">
      <c r="A9" s="6">
        <v>43859</v>
      </c>
      <c r="B9" s="7" t="s">
        <v>7</v>
      </c>
      <c r="C9" s="7" t="s">
        <v>16</v>
      </c>
      <c r="D9" s="7" t="s">
        <v>21</v>
      </c>
      <c r="E9" s="7">
        <v>86000</v>
      </c>
      <c r="F9" s="7">
        <v>39</v>
      </c>
      <c r="G9" s="8">
        <f t="shared" si="0"/>
        <v>3354000</v>
      </c>
    </row>
    <row r="10" spans="1:7" ht="15.6">
      <c r="A10" s="3">
        <v>43863</v>
      </c>
      <c r="B10" s="4" t="s">
        <v>12</v>
      </c>
      <c r="C10" s="4" t="s">
        <v>22</v>
      </c>
      <c r="D10" s="4" t="s">
        <v>18</v>
      </c>
      <c r="E10" s="4">
        <v>990</v>
      </c>
      <c r="F10" s="4">
        <v>9</v>
      </c>
      <c r="G10" s="5">
        <f t="shared" si="0"/>
        <v>8910</v>
      </c>
    </row>
    <row r="11" spans="1:7" ht="15.6">
      <c r="A11" s="6">
        <v>43867</v>
      </c>
      <c r="B11" s="7" t="s">
        <v>7</v>
      </c>
      <c r="C11" s="7" t="s">
        <v>8</v>
      </c>
      <c r="D11" s="7" t="s">
        <v>9</v>
      </c>
      <c r="E11" s="7">
        <v>5599</v>
      </c>
      <c r="F11" s="7">
        <v>41</v>
      </c>
      <c r="G11" s="8">
        <f t="shared" si="0"/>
        <v>229559</v>
      </c>
    </row>
    <row r="12" spans="1:7" ht="15.6">
      <c r="A12" s="3">
        <v>43871</v>
      </c>
      <c r="B12" s="4" t="s">
        <v>19</v>
      </c>
      <c r="C12" s="4" t="s">
        <v>20</v>
      </c>
      <c r="D12" s="4" t="s">
        <v>14</v>
      </c>
      <c r="E12" s="4">
        <v>499</v>
      </c>
      <c r="F12" s="4">
        <v>39</v>
      </c>
      <c r="G12" s="5">
        <f t="shared" si="0"/>
        <v>19461</v>
      </c>
    </row>
    <row r="13" spans="1:7" ht="15.6">
      <c r="A13" s="6">
        <v>43875</v>
      </c>
      <c r="B13" s="7" t="s">
        <v>10</v>
      </c>
      <c r="C13" s="7" t="s">
        <v>22</v>
      </c>
      <c r="D13" s="7" t="s">
        <v>9</v>
      </c>
      <c r="E13" s="7">
        <v>1999</v>
      </c>
      <c r="F13" s="7">
        <v>4</v>
      </c>
      <c r="G13" s="8">
        <f t="shared" si="0"/>
        <v>7996</v>
      </c>
    </row>
    <row r="14" spans="1:7" ht="15.6">
      <c r="A14" s="3">
        <v>43879</v>
      </c>
      <c r="B14" s="4" t="s">
        <v>15</v>
      </c>
      <c r="C14" s="4" t="s">
        <v>16</v>
      </c>
      <c r="D14" s="4" t="s">
        <v>9</v>
      </c>
      <c r="E14" s="4">
        <v>63400</v>
      </c>
      <c r="F14" s="4">
        <v>8</v>
      </c>
      <c r="G14" s="5">
        <f t="shared" si="0"/>
        <v>507200</v>
      </c>
    </row>
    <row r="15" spans="1:7" ht="15.6">
      <c r="A15" s="6">
        <v>43883</v>
      </c>
      <c r="B15" s="7" t="s">
        <v>23</v>
      </c>
      <c r="C15" s="7" t="s">
        <v>22</v>
      </c>
      <c r="D15" s="7" t="s">
        <v>18</v>
      </c>
      <c r="E15" s="7">
        <v>1499</v>
      </c>
      <c r="F15" s="7">
        <v>27</v>
      </c>
      <c r="G15" s="8">
        <f t="shared" si="0"/>
        <v>40473</v>
      </c>
    </row>
    <row r="16" spans="1:7" ht="15.6">
      <c r="A16" s="3">
        <v>43887</v>
      </c>
      <c r="B16" s="4" t="s">
        <v>15</v>
      </c>
      <c r="C16" s="4" t="s">
        <v>17</v>
      </c>
      <c r="D16" s="4" t="s">
        <v>14</v>
      </c>
      <c r="E16" s="4">
        <v>120</v>
      </c>
      <c r="F16" s="4">
        <v>10</v>
      </c>
      <c r="G16" s="5">
        <f t="shared" si="0"/>
        <v>1200</v>
      </c>
    </row>
    <row r="17" spans="1:7" ht="15.6">
      <c r="A17" s="6">
        <v>43891</v>
      </c>
      <c r="B17" s="7" t="s">
        <v>10</v>
      </c>
      <c r="C17" s="7" t="s">
        <v>20</v>
      </c>
      <c r="D17" s="7" t="s">
        <v>21</v>
      </c>
      <c r="E17" s="7">
        <v>11999</v>
      </c>
      <c r="F17" s="7">
        <v>17</v>
      </c>
      <c r="G17" s="8">
        <f t="shared" si="0"/>
        <v>203983</v>
      </c>
    </row>
    <row r="18" spans="1:7" ht="15.6">
      <c r="A18" s="3">
        <v>43895</v>
      </c>
      <c r="B18" s="4" t="s">
        <v>12</v>
      </c>
      <c r="C18" s="4" t="s">
        <v>16</v>
      </c>
      <c r="D18" s="4" t="s">
        <v>11</v>
      </c>
      <c r="E18" s="4">
        <v>47500</v>
      </c>
      <c r="F18" s="4">
        <v>27</v>
      </c>
      <c r="G18" s="5">
        <f t="shared" si="0"/>
        <v>1282500</v>
      </c>
    </row>
    <row r="19" spans="1:7" ht="15.6">
      <c r="A19" s="6">
        <v>43899</v>
      </c>
      <c r="B19" s="7" t="s">
        <v>19</v>
      </c>
      <c r="C19" s="7" t="s">
        <v>20</v>
      </c>
      <c r="D19" s="7" t="s">
        <v>11</v>
      </c>
      <c r="E19" s="7">
        <v>2999</v>
      </c>
      <c r="F19" s="7">
        <v>43</v>
      </c>
      <c r="G19" s="8">
        <f t="shared" si="0"/>
        <v>128957</v>
      </c>
    </row>
    <row r="20" spans="1:7" ht="15.6">
      <c r="A20" s="3">
        <v>43903</v>
      </c>
      <c r="B20" s="4" t="s">
        <v>15</v>
      </c>
      <c r="C20" s="4" t="s">
        <v>17</v>
      </c>
      <c r="D20" s="4" t="s">
        <v>11</v>
      </c>
      <c r="E20" s="4">
        <v>8900</v>
      </c>
      <c r="F20" s="4">
        <v>9</v>
      </c>
      <c r="G20" s="5">
        <f t="shared" si="0"/>
        <v>80100</v>
      </c>
    </row>
    <row r="21" spans="1:7" ht="15.6">
      <c r="A21" s="6">
        <v>43907</v>
      </c>
      <c r="B21" s="7" t="s">
        <v>10</v>
      </c>
      <c r="C21" s="7" t="s">
        <v>20</v>
      </c>
      <c r="D21" s="7" t="s">
        <v>9</v>
      </c>
      <c r="E21" s="7">
        <v>22000</v>
      </c>
      <c r="F21" s="7">
        <v>42</v>
      </c>
      <c r="G21" s="8">
        <f t="shared" si="0"/>
        <v>924000</v>
      </c>
    </row>
    <row r="22" spans="1:7" ht="15.6">
      <c r="A22" s="3">
        <v>43911</v>
      </c>
      <c r="B22" s="4" t="s">
        <v>12</v>
      </c>
      <c r="C22" s="4" t="s">
        <v>13</v>
      </c>
      <c r="D22" s="4" t="s">
        <v>11</v>
      </c>
      <c r="E22" s="4">
        <v>1250</v>
      </c>
      <c r="F22" s="4">
        <v>6</v>
      </c>
      <c r="G22" s="5">
        <f t="shared" si="0"/>
        <v>7500</v>
      </c>
    </row>
    <row r="23" spans="1:7" ht="15.6">
      <c r="A23" s="6">
        <v>43915</v>
      </c>
      <c r="B23" s="7" t="s">
        <v>15</v>
      </c>
      <c r="C23" s="7" t="s">
        <v>17</v>
      </c>
      <c r="D23" s="7" t="s">
        <v>18</v>
      </c>
      <c r="E23" s="7">
        <v>999</v>
      </c>
      <c r="F23" s="7">
        <v>28</v>
      </c>
      <c r="G23" s="8">
        <f t="shared" si="0"/>
        <v>27972</v>
      </c>
    </row>
    <row r="24" spans="1:7" ht="15.6">
      <c r="A24" s="3">
        <v>43919</v>
      </c>
      <c r="B24" s="4" t="s">
        <v>19</v>
      </c>
      <c r="C24" s="4" t="s">
        <v>13</v>
      </c>
      <c r="D24" s="4" t="s">
        <v>21</v>
      </c>
      <c r="E24" s="4">
        <v>1450</v>
      </c>
      <c r="F24" s="4">
        <v>13</v>
      </c>
      <c r="G24" s="5">
        <f t="shared" si="0"/>
        <v>18850</v>
      </c>
    </row>
    <row r="25" spans="1:7" ht="15.6">
      <c r="A25" s="6">
        <v>43923</v>
      </c>
      <c r="B25" s="7" t="s">
        <v>19</v>
      </c>
      <c r="C25" s="7" t="s">
        <v>13</v>
      </c>
      <c r="D25" s="7" t="s">
        <v>14</v>
      </c>
      <c r="E25" s="7">
        <v>23999</v>
      </c>
      <c r="F25" s="7">
        <v>8</v>
      </c>
      <c r="G25" s="8">
        <f t="shared" si="0"/>
        <v>191992</v>
      </c>
    </row>
    <row r="26" spans="1:7" ht="15.6">
      <c r="A26" s="3">
        <v>43927</v>
      </c>
      <c r="B26" s="4" t="s">
        <v>10</v>
      </c>
      <c r="C26" s="4" t="s">
        <v>16</v>
      </c>
      <c r="D26" s="4" t="s">
        <v>21</v>
      </c>
      <c r="E26" s="4">
        <v>65200</v>
      </c>
      <c r="F26" s="4">
        <v>7</v>
      </c>
      <c r="G26" s="5">
        <f t="shared" si="0"/>
        <v>456400</v>
      </c>
    </row>
    <row r="27" spans="1:7" ht="15.6">
      <c r="A27" s="6">
        <v>43931</v>
      </c>
      <c r="B27" s="7" t="s">
        <v>10</v>
      </c>
      <c r="C27" s="7" t="s">
        <v>22</v>
      </c>
      <c r="D27" s="7" t="s">
        <v>11</v>
      </c>
      <c r="E27" s="7">
        <v>699</v>
      </c>
      <c r="F27" s="7">
        <v>45</v>
      </c>
      <c r="G27" s="8">
        <f t="shared" si="0"/>
        <v>31455</v>
      </c>
    </row>
    <row r="28" spans="1:7" ht="15.6">
      <c r="A28" s="3">
        <v>43935</v>
      </c>
      <c r="B28" s="4" t="s">
        <v>7</v>
      </c>
      <c r="C28" s="4" t="s">
        <v>8</v>
      </c>
      <c r="D28" s="4" t="s">
        <v>9</v>
      </c>
      <c r="E28" s="4">
        <v>2550</v>
      </c>
      <c r="F28" s="4">
        <v>22</v>
      </c>
      <c r="G28" s="5">
        <f t="shared" si="0"/>
        <v>56100</v>
      </c>
    </row>
    <row r="29" spans="1:7" ht="15.6">
      <c r="A29" s="6">
        <v>43939</v>
      </c>
      <c r="B29" s="7" t="s">
        <v>12</v>
      </c>
      <c r="C29" s="7" t="s">
        <v>20</v>
      </c>
      <c r="D29" s="7" t="s">
        <v>21</v>
      </c>
      <c r="E29" s="7">
        <v>22000</v>
      </c>
      <c r="F29" s="7">
        <v>4</v>
      </c>
      <c r="G29" s="8">
        <f t="shared" si="0"/>
        <v>88000</v>
      </c>
    </row>
    <row r="30" spans="1:7" ht="15.6">
      <c r="A30" s="3">
        <v>43943</v>
      </c>
      <c r="B30" s="4" t="s">
        <v>19</v>
      </c>
      <c r="C30" s="4" t="s">
        <v>16</v>
      </c>
      <c r="D30" s="4" t="s">
        <v>9</v>
      </c>
      <c r="E30" s="4">
        <v>22000</v>
      </c>
      <c r="F30" s="4">
        <v>10</v>
      </c>
      <c r="G30" s="5">
        <f t="shared" si="0"/>
        <v>220000</v>
      </c>
    </row>
    <row r="31" spans="1:7" ht="15.6">
      <c r="A31" s="6">
        <v>43947</v>
      </c>
      <c r="B31" s="7" t="s">
        <v>23</v>
      </c>
      <c r="C31" s="7" t="s">
        <v>22</v>
      </c>
      <c r="D31" s="7" t="s">
        <v>18</v>
      </c>
      <c r="E31" s="7">
        <v>1499</v>
      </c>
      <c r="F31" s="7">
        <v>16</v>
      </c>
      <c r="G31" s="8">
        <f t="shared" si="0"/>
        <v>23984</v>
      </c>
    </row>
    <row r="32" spans="1:7" ht="15.6">
      <c r="A32" s="3">
        <v>43951</v>
      </c>
      <c r="B32" s="4" t="s">
        <v>10</v>
      </c>
      <c r="C32" s="4" t="s">
        <v>17</v>
      </c>
      <c r="D32" s="4" t="s">
        <v>21</v>
      </c>
      <c r="E32" s="4">
        <v>120</v>
      </c>
      <c r="F32" s="4">
        <v>22</v>
      </c>
      <c r="G32" s="5">
        <f t="shared" si="0"/>
        <v>2640</v>
      </c>
    </row>
    <row r="33" spans="1:7" ht="15.6">
      <c r="A33" s="6">
        <v>43955</v>
      </c>
      <c r="B33" s="7" t="s">
        <v>7</v>
      </c>
      <c r="C33" s="7" t="s">
        <v>8</v>
      </c>
      <c r="D33" s="7" t="s">
        <v>14</v>
      </c>
      <c r="E33" s="7">
        <v>1450</v>
      </c>
      <c r="F33" s="7">
        <v>20</v>
      </c>
      <c r="G33" s="8">
        <f t="shared" si="0"/>
        <v>29000</v>
      </c>
    </row>
    <row r="34" spans="1:7" ht="15.6">
      <c r="A34" s="3">
        <v>43959</v>
      </c>
      <c r="B34" s="4" t="s">
        <v>23</v>
      </c>
      <c r="C34" s="4" t="s">
        <v>22</v>
      </c>
      <c r="D34" s="4" t="s">
        <v>18</v>
      </c>
      <c r="E34" s="4">
        <v>1999</v>
      </c>
      <c r="F34" s="4">
        <v>23</v>
      </c>
      <c r="G34" s="5">
        <f t="shared" si="0"/>
        <v>45977</v>
      </c>
    </row>
    <row r="35" spans="1:7" ht="15.6">
      <c r="A35" s="6">
        <v>43963</v>
      </c>
      <c r="B35" s="7" t="s">
        <v>10</v>
      </c>
      <c r="C35" s="7" t="s">
        <v>8</v>
      </c>
      <c r="D35" s="7" t="s">
        <v>9</v>
      </c>
      <c r="E35" s="7">
        <v>800</v>
      </c>
      <c r="F35" s="7">
        <v>43</v>
      </c>
      <c r="G35" s="8">
        <f t="shared" si="0"/>
        <v>34400</v>
      </c>
    </row>
    <row r="36" spans="1:7" ht="15.6">
      <c r="A36" s="3">
        <v>43967</v>
      </c>
      <c r="B36" s="4" t="s">
        <v>12</v>
      </c>
      <c r="C36" s="4" t="s">
        <v>17</v>
      </c>
      <c r="D36" s="4" t="s">
        <v>18</v>
      </c>
      <c r="E36" s="4">
        <v>18000</v>
      </c>
      <c r="F36" s="4">
        <v>41</v>
      </c>
      <c r="G36" s="5">
        <f t="shared" si="0"/>
        <v>738000</v>
      </c>
    </row>
    <row r="37" spans="1:7" ht="15.6">
      <c r="A37" s="6">
        <v>43971</v>
      </c>
      <c r="B37" s="7" t="s">
        <v>7</v>
      </c>
      <c r="C37" s="7" t="s">
        <v>8</v>
      </c>
      <c r="D37" s="7" t="s">
        <v>11</v>
      </c>
      <c r="E37" s="7">
        <v>13999</v>
      </c>
      <c r="F37" s="7">
        <v>37</v>
      </c>
      <c r="G37" s="8">
        <f t="shared" si="0"/>
        <v>517963</v>
      </c>
    </row>
    <row r="38" spans="1:7" ht="15.6">
      <c r="A38" s="3">
        <v>43975</v>
      </c>
      <c r="B38" s="4" t="s">
        <v>10</v>
      </c>
      <c r="C38" s="4" t="s">
        <v>20</v>
      </c>
      <c r="D38" s="4" t="s">
        <v>18</v>
      </c>
      <c r="E38" s="4">
        <v>22000</v>
      </c>
      <c r="F38" s="4">
        <v>45</v>
      </c>
      <c r="G38" s="5">
        <f t="shared" si="0"/>
        <v>990000</v>
      </c>
    </row>
    <row r="39" spans="1:7" ht="15.6">
      <c r="A39" s="6">
        <v>43979</v>
      </c>
      <c r="B39" s="7" t="s">
        <v>19</v>
      </c>
      <c r="C39" s="7" t="s">
        <v>16</v>
      </c>
      <c r="D39" s="7" t="s">
        <v>9</v>
      </c>
      <c r="E39" s="7">
        <v>89999</v>
      </c>
      <c r="F39" s="7">
        <v>15</v>
      </c>
      <c r="G39" s="8">
        <f t="shared" si="0"/>
        <v>1349985</v>
      </c>
    </row>
    <row r="40" spans="1:7" ht="15.6">
      <c r="A40" s="3">
        <v>43983</v>
      </c>
      <c r="B40" s="4" t="s">
        <v>7</v>
      </c>
      <c r="C40" s="4" t="s">
        <v>8</v>
      </c>
      <c r="D40" s="4" t="s">
        <v>14</v>
      </c>
      <c r="E40" s="4">
        <v>13999</v>
      </c>
      <c r="F40" s="4">
        <v>22</v>
      </c>
      <c r="G40" s="5">
        <f t="shared" si="0"/>
        <v>307978</v>
      </c>
    </row>
    <row r="41" spans="1:7" ht="15.6">
      <c r="A41" s="6">
        <v>43987</v>
      </c>
      <c r="B41" s="7" t="s">
        <v>12</v>
      </c>
      <c r="C41" s="7" t="s">
        <v>22</v>
      </c>
      <c r="D41" s="7" t="s">
        <v>11</v>
      </c>
      <c r="E41" s="7">
        <v>2900</v>
      </c>
      <c r="F41" s="7">
        <v>20</v>
      </c>
      <c r="G41" s="8">
        <f t="shared" si="0"/>
        <v>58000</v>
      </c>
    </row>
    <row r="42" spans="1:7" ht="15.6">
      <c r="A42" s="3">
        <v>43991</v>
      </c>
      <c r="B42" s="4" t="s">
        <v>10</v>
      </c>
      <c r="C42" s="4" t="s">
        <v>20</v>
      </c>
      <c r="D42" s="4" t="s">
        <v>18</v>
      </c>
      <c r="E42" s="4">
        <v>33000</v>
      </c>
      <c r="F42" s="4">
        <v>16</v>
      </c>
      <c r="G42" s="5">
        <f t="shared" si="0"/>
        <v>528000</v>
      </c>
    </row>
    <row r="43" spans="1:7" ht="15.6">
      <c r="A43" s="6">
        <v>43995</v>
      </c>
      <c r="B43" s="7" t="s">
        <v>12</v>
      </c>
      <c r="C43" s="7" t="s">
        <v>20</v>
      </c>
      <c r="D43" s="7" t="s">
        <v>11</v>
      </c>
      <c r="E43" s="7">
        <v>22000</v>
      </c>
      <c r="F43" s="7">
        <v>17</v>
      </c>
      <c r="G43" s="8">
        <f t="shared" si="0"/>
        <v>374000</v>
      </c>
    </row>
    <row r="44" spans="1:7" ht="15.6">
      <c r="A44" s="3">
        <v>43999</v>
      </c>
      <c r="B44" s="4" t="s">
        <v>23</v>
      </c>
      <c r="C44" s="4" t="s">
        <v>22</v>
      </c>
      <c r="D44" s="4" t="s">
        <v>11</v>
      </c>
      <c r="E44" s="4">
        <v>699</v>
      </c>
      <c r="F44" s="4">
        <v>50</v>
      </c>
      <c r="G44" s="5">
        <f t="shared" si="0"/>
        <v>34950</v>
      </c>
    </row>
    <row r="45" spans="1:7" ht="15.6">
      <c r="A45" s="6">
        <v>44003</v>
      </c>
      <c r="B45" s="7" t="s">
        <v>19</v>
      </c>
      <c r="C45" s="7" t="s">
        <v>20</v>
      </c>
      <c r="D45" s="7" t="s">
        <v>14</v>
      </c>
      <c r="E45" s="7">
        <v>499</v>
      </c>
      <c r="F45" s="7">
        <v>4</v>
      </c>
      <c r="G45" s="8">
        <f t="shared" si="0"/>
        <v>1996</v>
      </c>
    </row>
    <row r="46" spans="1:7" ht="15.6">
      <c r="A46" s="3">
        <v>44007</v>
      </c>
      <c r="B46" s="4" t="s">
        <v>10</v>
      </c>
      <c r="C46" s="4" t="s">
        <v>22</v>
      </c>
      <c r="D46" s="4" t="s">
        <v>18</v>
      </c>
      <c r="E46" s="4">
        <v>590</v>
      </c>
      <c r="F46" s="4">
        <v>43</v>
      </c>
      <c r="G46" s="5">
        <f t="shared" si="0"/>
        <v>25370</v>
      </c>
    </row>
    <row r="47" spans="1:7" ht="15.6">
      <c r="A47" s="6">
        <v>44011</v>
      </c>
      <c r="B47" s="7" t="s">
        <v>23</v>
      </c>
      <c r="C47" s="7" t="s">
        <v>22</v>
      </c>
      <c r="D47" s="7" t="s">
        <v>11</v>
      </c>
      <c r="E47" s="7">
        <v>590</v>
      </c>
      <c r="F47" s="7">
        <v>42</v>
      </c>
      <c r="G47" s="8">
        <f t="shared" si="0"/>
        <v>24780</v>
      </c>
    </row>
    <row r="48" spans="1:7" ht="15.6">
      <c r="A48" s="3">
        <v>44015</v>
      </c>
      <c r="B48" s="4" t="s">
        <v>10</v>
      </c>
      <c r="C48" s="4" t="s">
        <v>16</v>
      </c>
      <c r="D48" s="4" t="s">
        <v>9</v>
      </c>
      <c r="E48" s="4">
        <v>120</v>
      </c>
      <c r="F48" s="4">
        <v>9</v>
      </c>
      <c r="G48" s="5">
        <f t="shared" si="0"/>
        <v>1080</v>
      </c>
    </row>
    <row r="49" spans="1:7" ht="15.6">
      <c r="A49" s="6">
        <v>44019</v>
      </c>
      <c r="B49" s="7" t="s">
        <v>19</v>
      </c>
      <c r="C49" s="7" t="s">
        <v>20</v>
      </c>
      <c r="D49" s="7" t="s">
        <v>21</v>
      </c>
      <c r="E49" s="7">
        <v>52000</v>
      </c>
      <c r="F49" s="7">
        <v>40</v>
      </c>
      <c r="G49" s="8">
        <f t="shared" si="0"/>
        <v>2080000</v>
      </c>
    </row>
    <row r="50" spans="1:7" ht="15.6">
      <c r="A50" s="3">
        <v>44023</v>
      </c>
      <c r="B50" s="4" t="s">
        <v>12</v>
      </c>
      <c r="C50" s="4" t="s">
        <v>13</v>
      </c>
      <c r="D50" s="4" t="s">
        <v>18</v>
      </c>
      <c r="E50" s="4">
        <v>7999</v>
      </c>
      <c r="F50" s="4">
        <v>14</v>
      </c>
      <c r="G50" s="5">
        <f t="shared" si="0"/>
        <v>111986</v>
      </c>
    </row>
    <row r="51" spans="1:7" ht="15.6">
      <c r="A51" s="6">
        <v>44027</v>
      </c>
      <c r="B51" s="7" t="s">
        <v>10</v>
      </c>
      <c r="C51" s="7" t="s">
        <v>13</v>
      </c>
      <c r="D51" s="7" t="s">
        <v>21</v>
      </c>
      <c r="E51" s="7">
        <v>550</v>
      </c>
      <c r="F51" s="7">
        <v>9</v>
      </c>
      <c r="G51" s="8">
        <f t="shared" si="0"/>
        <v>4950</v>
      </c>
    </row>
    <row r="52" spans="1:7" ht="15.6">
      <c r="A52" s="3">
        <v>44031</v>
      </c>
      <c r="B52" s="4" t="s">
        <v>12</v>
      </c>
      <c r="C52" s="4" t="s">
        <v>16</v>
      </c>
      <c r="D52" s="4" t="s">
        <v>18</v>
      </c>
      <c r="E52" s="4">
        <v>79999</v>
      </c>
      <c r="F52" s="4">
        <v>10</v>
      </c>
      <c r="G52" s="5">
        <f t="shared" si="0"/>
        <v>799990</v>
      </c>
    </row>
    <row r="53" spans="1:7" ht="15.6">
      <c r="A53" s="6">
        <v>44035</v>
      </c>
      <c r="B53" s="7" t="s">
        <v>23</v>
      </c>
      <c r="C53" s="7" t="s">
        <v>22</v>
      </c>
      <c r="D53" s="7" t="s">
        <v>18</v>
      </c>
      <c r="E53" s="7">
        <v>1999</v>
      </c>
      <c r="F53" s="7">
        <v>37</v>
      </c>
      <c r="G53" s="8">
        <f t="shared" si="0"/>
        <v>73963</v>
      </c>
    </row>
    <row r="54" spans="1:7" ht="15.6">
      <c r="A54" s="3">
        <v>44039</v>
      </c>
      <c r="B54" s="4" t="s">
        <v>19</v>
      </c>
      <c r="C54" s="4" t="s">
        <v>20</v>
      </c>
      <c r="D54" s="4" t="s">
        <v>14</v>
      </c>
      <c r="E54" s="4">
        <v>89999</v>
      </c>
      <c r="F54" s="4">
        <v>29</v>
      </c>
      <c r="G54" s="5">
        <f t="shared" si="0"/>
        <v>2609971</v>
      </c>
    </row>
    <row r="55" spans="1:7" ht="15.6">
      <c r="A55" s="6">
        <v>44043</v>
      </c>
      <c r="B55" s="7" t="s">
        <v>10</v>
      </c>
      <c r="C55" s="7" t="s">
        <v>16</v>
      </c>
      <c r="D55" s="7" t="s">
        <v>18</v>
      </c>
      <c r="E55" s="7">
        <v>78500</v>
      </c>
      <c r="F55" s="7">
        <v>44</v>
      </c>
      <c r="G55" s="8">
        <f t="shared" si="0"/>
        <v>3454000</v>
      </c>
    </row>
    <row r="56" spans="1:7" ht="15.6">
      <c r="A56" s="3">
        <v>44047</v>
      </c>
      <c r="B56" s="4" t="s">
        <v>19</v>
      </c>
      <c r="C56" s="4" t="s">
        <v>20</v>
      </c>
      <c r="D56" s="4" t="s">
        <v>11</v>
      </c>
      <c r="E56" s="4">
        <v>3990</v>
      </c>
      <c r="F56" s="4">
        <v>31</v>
      </c>
      <c r="G56" s="5">
        <f t="shared" si="0"/>
        <v>123690</v>
      </c>
    </row>
    <row r="57" spans="1:7" ht="15.6">
      <c r="A57" s="6">
        <v>44051</v>
      </c>
      <c r="B57" s="7" t="s">
        <v>12</v>
      </c>
      <c r="C57" s="7" t="s">
        <v>20</v>
      </c>
      <c r="D57" s="7" t="s">
        <v>18</v>
      </c>
      <c r="E57" s="7">
        <v>52000</v>
      </c>
      <c r="F57" s="7">
        <v>29</v>
      </c>
      <c r="G57" s="8">
        <f t="shared" si="0"/>
        <v>1508000</v>
      </c>
    </row>
    <row r="58" spans="1:7" ht="15.6">
      <c r="A58" s="3">
        <v>44055</v>
      </c>
      <c r="B58" s="4" t="s">
        <v>7</v>
      </c>
      <c r="C58" s="4" t="s">
        <v>16</v>
      </c>
      <c r="D58" s="4" t="s">
        <v>18</v>
      </c>
      <c r="E58" s="4">
        <v>13999</v>
      </c>
      <c r="F58" s="4">
        <v>34</v>
      </c>
      <c r="G58" s="5">
        <f t="shared" si="0"/>
        <v>475966</v>
      </c>
    </row>
    <row r="59" spans="1:7" ht="15.6">
      <c r="A59" s="6">
        <v>44059</v>
      </c>
      <c r="B59" s="7" t="s">
        <v>10</v>
      </c>
      <c r="C59" s="7" t="s">
        <v>17</v>
      </c>
      <c r="D59" s="7" t="s">
        <v>11</v>
      </c>
      <c r="E59" s="7">
        <v>120</v>
      </c>
      <c r="F59" s="7">
        <v>29</v>
      </c>
      <c r="G59" s="8">
        <f t="shared" si="0"/>
        <v>3480</v>
      </c>
    </row>
    <row r="60" spans="1:7" ht="15.6">
      <c r="A60" s="3">
        <v>44063</v>
      </c>
      <c r="B60" s="4" t="s">
        <v>19</v>
      </c>
      <c r="C60" s="4" t="s">
        <v>13</v>
      </c>
      <c r="D60" s="4" t="s">
        <v>11</v>
      </c>
      <c r="E60" s="4">
        <v>23999</v>
      </c>
      <c r="F60" s="4">
        <v>25</v>
      </c>
      <c r="G60" s="5">
        <f t="shared" si="0"/>
        <v>599975</v>
      </c>
    </row>
    <row r="61" spans="1:7" ht="15.6">
      <c r="A61" s="6">
        <v>44067</v>
      </c>
      <c r="B61" s="7" t="s">
        <v>19</v>
      </c>
      <c r="C61" s="7" t="s">
        <v>16</v>
      </c>
      <c r="D61" s="7" t="s">
        <v>18</v>
      </c>
      <c r="E61" s="7">
        <v>45000</v>
      </c>
      <c r="F61" s="7">
        <v>31</v>
      </c>
      <c r="G61" s="8">
        <f t="shared" si="0"/>
        <v>1395000</v>
      </c>
    </row>
    <row r="62" spans="1:7" ht="15.6">
      <c r="A62" s="3">
        <v>44071</v>
      </c>
      <c r="B62" s="4" t="s">
        <v>10</v>
      </c>
      <c r="C62" s="4" t="s">
        <v>22</v>
      </c>
      <c r="D62" s="4" t="s">
        <v>11</v>
      </c>
      <c r="E62" s="4">
        <v>450</v>
      </c>
      <c r="F62" s="4">
        <v>16</v>
      </c>
      <c r="G62" s="5">
        <f t="shared" si="0"/>
        <v>7200</v>
      </c>
    </row>
    <row r="63" spans="1:7" ht="15.6">
      <c r="A63" s="6">
        <v>44075</v>
      </c>
      <c r="B63" s="7" t="s">
        <v>15</v>
      </c>
      <c r="C63" s="7" t="s">
        <v>17</v>
      </c>
      <c r="D63" s="7" t="s">
        <v>18</v>
      </c>
      <c r="E63" s="7">
        <v>65000</v>
      </c>
      <c r="F63" s="7">
        <v>48</v>
      </c>
      <c r="G63" s="8">
        <f t="shared" si="0"/>
        <v>3120000</v>
      </c>
    </row>
    <row r="64" spans="1:7" ht="15.6">
      <c r="A64" s="3">
        <v>44079</v>
      </c>
      <c r="B64" s="4" t="s">
        <v>12</v>
      </c>
      <c r="C64" s="4" t="s">
        <v>16</v>
      </c>
      <c r="D64" s="4" t="s">
        <v>21</v>
      </c>
      <c r="E64" s="4">
        <v>35600</v>
      </c>
      <c r="F64" s="4">
        <v>22</v>
      </c>
      <c r="G64" s="5">
        <f t="shared" si="0"/>
        <v>783200</v>
      </c>
    </row>
    <row r="65" spans="1:7" ht="15.6">
      <c r="A65" s="6">
        <v>44083</v>
      </c>
      <c r="B65" s="7" t="s">
        <v>23</v>
      </c>
      <c r="C65" s="7" t="s">
        <v>22</v>
      </c>
      <c r="D65" s="7" t="s">
        <v>14</v>
      </c>
      <c r="E65" s="7">
        <v>699</v>
      </c>
      <c r="F65" s="7">
        <v>6</v>
      </c>
      <c r="G65" s="8">
        <f t="shared" si="0"/>
        <v>4194</v>
      </c>
    </row>
    <row r="66" spans="1:7" ht="15.6">
      <c r="A66" s="3">
        <v>44087</v>
      </c>
      <c r="B66" s="4" t="s">
        <v>10</v>
      </c>
      <c r="C66" s="4" t="s">
        <v>22</v>
      </c>
      <c r="D66" s="4" t="s">
        <v>11</v>
      </c>
      <c r="E66" s="4">
        <v>990</v>
      </c>
      <c r="F66" s="4">
        <v>12</v>
      </c>
      <c r="G66" s="5">
        <f t="shared" si="0"/>
        <v>11880</v>
      </c>
    </row>
    <row r="67" spans="1:7" ht="15.6">
      <c r="A67" s="6">
        <v>44091</v>
      </c>
      <c r="B67" s="7" t="s">
        <v>23</v>
      </c>
      <c r="C67" s="7" t="s">
        <v>16</v>
      </c>
      <c r="D67" s="7" t="s">
        <v>9</v>
      </c>
      <c r="E67" s="7">
        <v>450</v>
      </c>
      <c r="F67" s="7">
        <v>44</v>
      </c>
      <c r="G67" s="8">
        <f t="shared" ref="G67:G130" si="1">E67*F67</f>
        <v>19800</v>
      </c>
    </row>
    <row r="68" spans="1:7" ht="15.6">
      <c r="A68" s="3">
        <v>44095</v>
      </c>
      <c r="B68" s="4" t="s">
        <v>23</v>
      </c>
      <c r="C68" s="4" t="s">
        <v>22</v>
      </c>
      <c r="D68" s="4" t="s">
        <v>14</v>
      </c>
      <c r="E68" s="4">
        <v>1499</v>
      </c>
      <c r="F68" s="4">
        <v>15</v>
      </c>
      <c r="G68" s="5">
        <f t="shared" si="1"/>
        <v>22485</v>
      </c>
    </row>
    <row r="69" spans="1:7" ht="15.6">
      <c r="A69" s="6">
        <v>44099</v>
      </c>
      <c r="B69" s="7" t="s">
        <v>7</v>
      </c>
      <c r="C69" s="7" t="s">
        <v>8</v>
      </c>
      <c r="D69" s="7" t="s">
        <v>21</v>
      </c>
      <c r="E69" s="7">
        <v>499</v>
      </c>
      <c r="F69" s="7">
        <v>26</v>
      </c>
      <c r="G69" s="8">
        <f t="shared" si="1"/>
        <v>12974</v>
      </c>
    </row>
    <row r="70" spans="1:7" ht="15.6">
      <c r="A70" s="3">
        <v>44103</v>
      </c>
      <c r="B70" s="4" t="s">
        <v>12</v>
      </c>
      <c r="C70" s="4" t="s">
        <v>16</v>
      </c>
      <c r="D70" s="4" t="s">
        <v>21</v>
      </c>
      <c r="E70" s="4">
        <v>44000</v>
      </c>
      <c r="F70" s="4">
        <v>16</v>
      </c>
      <c r="G70" s="5">
        <f t="shared" si="1"/>
        <v>704000</v>
      </c>
    </row>
    <row r="71" spans="1:7" ht="15.6">
      <c r="A71" s="6">
        <v>44107</v>
      </c>
      <c r="B71" s="7" t="s">
        <v>7</v>
      </c>
      <c r="C71" s="7" t="s">
        <v>8</v>
      </c>
      <c r="D71" s="7" t="s">
        <v>18</v>
      </c>
      <c r="E71" s="7">
        <v>5599</v>
      </c>
      <c r="F71" s="7">
        <v>35</v>
      </c>
      <c r="G71" s="8">
        <f t="shared" si="1"/>
        <v>195965</v>
      </c>
    </row>
    <row r="72" spans="1:7" ht="15.6">
      <c r="A72" s="3">
        <v>44111</v>
      </c>
      <c r="B72" s="4" t="s">
        <v>15</v>
      </c>
      <c r="C72" s="4" t="s">
        <v>16</v>
      </c>
      <c r="D72" s="4" t="s">
        <v>9</v>
      </c>
      <c r="E72" s="4">
        <v>54100</v>
      </c>
      <c r="F72" s="4">
        <v>36</v>
      </c>
      <c r="G72" s="5">
        <f t="shared" si="1"/>
        <v>1947600</v>
      </c>
    </row>
    <row r="73" spans="1:7" ht="15.6">
      <c r="A73" s="6">
        <v>44115</v>
      </c>
      <c r="B73" s="7" t="s">
        <v>7</v>
      </c>
      <c r="C73" s="7" t="s">
        <v>8</v>
      </c>
      <c r="D73" s="7" t="s">
        <v>14</v>
      </c>
      <c r="E73" s="7">
        <v>2550</v>
      </c>
      <c r="F73" s="7">
        <v>20</v>
      </c>
      <c r="G73" s="8">
        <f t="shared" si="1"/>
        <v>51000</v>
      </c>
    </row>
    <row r="74" spans="1:7" ht="15.6">
      <c r="A74" s="3">
        <v>44119</v>
      </c>
      <c r="B74" s="4" t="s">
        <v>10</v>
      </c>
      <c r="C74" s="4" t="s">
        <v>16</v>
      </c>
      <c r="D74" s="4" t="s">
        <v>14</v>
      </c>
      <c r="E74" s="4">
        <v>1450</v>
      </c>
      <c r="F74" s="4">
        <v>47</v>
      </c>
      <c r="G74" s="5">
        <f t="shared" si="1"/>
        <v>68150</v>
      </c>
    </row>
    <row r="75" spans="1:7" ht="15.6">
      <c r="A75" s="6">
        <v>44123</v>
      </c>
      <c r="B75" s="7" t="s">
        <v>23</v>
      </c>
      <c r="C75" s="7" t="s">
        <v>22</v>
      </c>
      <c r="D75" s="7" t="s">
        <v>18</v>
      </c>
      <c r="E75" s="7">
        <v>2900</v>
      </c>
      <c r="F75" s="7">
        <v>6</v>
      </c>
      <c r="G75" s="8">
        <f t="shared" si="1"/>
        <v>17400</v>
      </c>
    </row>
    <row r="76" spans="1:7" ht="15.6">
      <c r="A76" s="3">
        <v>44127</v>
      </c>
      <c r="B76" s="4" t="s">
        <v>15</v>
      </c>
      <c r="C76" s="4" t="s">
        <v>16</v>
      </c>
      <c r="D76" s="4" t="s">
        <v>21</v>
      </c>
      <c r="E76" s="4">
        <v>65200</v>
      </c>
      <c r="F76" s="4">
        <v>6</v>
      </c>
      <c r="G76" s="5">
        <f t="shared" si="1"/>
        <v>391200</v>
      </c>
    </row>
    <row r="77" spans="1:7" ht="15.6">
      <c r="A77" s="6">
        <v>44131</v>
      </c>
      <c r="B77" s="7" t="s">
        <v>10</v>
      </c>
      <c r="C77" s="7" t="s">
        <v>20</v>
      </c>
      <c r="D77" s="7" t="s">
        <v>21</v>
      </c>
      <c r="E77" s="7">
        <v>52000</v>
      </c>
      <c r="F77" s="7">
        <v>41</v>
      </c>
      <c r="G77" s="8">
        <f t="shared" si="1"/>
        <v>2132000</v>
      </c>
    </row>
    <row r="78" spans="1:7" ht="15.6">
      <c r="A78" s="3">
        <v>44135</v>
      </c>
      <c r="B78" s="4" t="s">
        <v>12</v>
      </c>
      <c r="C78" s="4" t="s">
        <v>16</v>
      </c>
      <c r="D78" s="4" t="s">
        <v>11</v>
      </c>
      <c r="E78" s="4">
        <v>59000</v>
      </c>
      <c r="F78" s="4">
        <v>29</v>
      </c>
      <c r="G78" s="5">
        <f t="shared" si="1"/>
        <v>1711000</v>
      </c>
    </row>
    <row r="79" spans="1:7" ht="15.6">
      <c r="A79" s="6">
        <v>44139</v>
      </c>
      <c r="B79" s="7" t="s">
        <v>19</v>
      </c>
      <c r="C79" s="7" t="s">
        <v>13</v>
      </c>
      <c r="D79" s="7" t="s">
        <v>21</v>
      </c>
      <c r="E79" s="7">
        <v>7999</v>
      </c>
      <c r="F79" s="7">
        <v>31</v>
      </c>
      <c r="G79" s="8">
        <f t="shared" si="1"/>
        <v>247969</v>
      </c>
    </row>
    <row r="80" spans="1:7" ht="15.6">
      <c r="A80" s="3">
        <v>44143</v>
      </c>
      <c r="B80" s="4" t="s">
        <v>10</v>
      </c>
      <c r="C80" s="4" t="s">
        <v>17</v>
      </c>
      <c r="D80" s="4" t="s">
        <v>11</v>
      </c>
      <c r="E80" s="4">
        <v>45000</v>
      </c>
      <c r="F80" s="4">
        <v>34</v>
      </c>
      <c r="G80" s="5">
        <f t="shared" si="1"/>
        <v>1530000</v>
      </c>
    </row>
    <row r="81" spans="1:7" ht="15.6">
      <c r="A81" s="6">
        <v>44147</v>
      </c>
      <c r="B81" s="7" t="s">
        <v>23</v>
      </c>
      <c r="C81" s="7" t="s">
        <v>22</v>
      </c>
      <c r="D81" s="7" t="s">
        <v>9</v>
      </c>
      <c r="E81" s="7">
        <v>990</v>
      </c>
      <c r="F81" s="7">
        <v>43</v>
      </c>
      <c r="G81" s="8">
        <f t="shared" si="1"/>
        <v>42570</v>
      </c>
    </row>
    <row r="82" spans="1:7" ht="15.6">
      <c r="A82" s="3">
        <v>44151</v>
      </c>
      <c r="B82" s="4" t="s">
        <v>19</v>
      </c>
      <c r="C82" s="4" t="s">
        <v>20</v>
      </c>
      <c r="D82" s="4" t="s">
        <v>9</v>
      </c>
      <c r="E82" s="4">
        <v>11999</v>
      </c>
      <c r="F82" s="4">
        <v>37</v>
      </c>
      <c r="G82" s="5">
        <f t="shared" si="1"/>
        <v>443963</v>
      </c>
    </row>
    <row r="83" spans="1:7" ht="15.6">
      <c r="A83" s="6">
        <v>44155</v>
      </c>
      <c r="B83" s="7" t="s">
        <v>19</v>
      </c>
      <c r="C83" s="7" t="s">
        <v>13</v>
      </c>
      <c r="D83" s="7" t="s">
        <v>9</v>
      </c>
      <c r="E83" s="7">
        <v>960</v>
      </c>
      <c r="F83" s="7">
        <v>7</v>
      </c>
      <c r="G83" s="8">
        <f t="shared" si="1"/>
        <v>6720</v>
      </c>
    </row>
    <row r="84" spans="1:7" ht="15.6">
      <c r="A84" s="3">
        <v>44159</v>
      </c>
      <c r="B84" s="4" t="s">
        <v>10</v>
      </c>
      <c r="C84" s="4" t="s">
        <v>8</v>
      </c>
      <c r="D84" s="4" t="s">
        <v>14</v>
      </c>
      <c r="E84" s="4">
        <v>1450</v>
      </c>
      <c r="F84" s="4">
        <v>19</v>
      </c>
      <c r="G84" s="5">
        <f t="shared" si="1"/>
        <v>27550</v>
      </c>
    </row>
    <row r="85" spans="1:7" ht="15.6">
      <c r="A85" s="6">
        <v>44163</v>
      </c>
      <c r="B85" s="7" t="s">
        <v>12</v>
      </c>
      <c r="C85" s="7" t="s">
        <v>16</v>
      </c>
      <c r="D85" s="7" t="s">
        <v>11</v>
      </c>
      <c r="E85" s="7">
        <v>45000</v>
      </c>
      <c r="F85" s="7">
        <v>47</v>
      </c>
      <c r="G85" s="8">
        <f t="shared" si="1"/>
        <v>2115000</v>
      </c>
    </row>
    <row r="86" spans="1:7" ht="15.6">
      <c r="A86" s="3">
        <v>44167</v>
      </c>
      <c r="B86" s="4" t="s">
        <v>10</v>
      </c>
      <c r="C86" s="4" t="s">
        <v>22</v>
      </c>
      <c r="D86" s="4" t="s">
        <v>11</v>
      </c>
      <c r="E86" s="4">
        <v>1499</v>
      </c>
      <c r="F86" s="4">
        <v>37</v>
      </c>
      <c r="G86" s="5">
        <f t="shared" si="1"/>
        <v>55463</v>
      </c>
    </row>
    <row r="87" spans="1:7" ht="15.6">
      <c r="A87" s="6">
        <v>44171</v>
      </c>
      <c r="B87" s="7" t="s">
        <v>19</v>
      </c>
      <c r="C87" s="7" t="s">
        <v>20</v>
      </c>
      <c r="D87" s="7" t="s">
        <v>14</v>
      </c>
      <c r="E87" s="7">
        <v>79999</v>
      </c>
      <c r="F87" s="7">
        <v>4</v>
      </c>
      <c r="G87" s="8">
        <f t="shared" si="1"/>
        <v>319996</v>
      </c>
    </row>
    <row r="88" spans="1:7" ht="15.6">
      <c r="A88" s="3">
        <v>44175</v>
      </c>
      <c r="B88" s="4" t="s">
        <v>15</v>
      </c>
      <c r="C88" s="4" t="s">
        <v>16</v>
      </c>
      <c r="D88" s="4" t="s">
        <v>21</v>
      </c>
      <c r="E88" s="4">
        <v>999</v>
      </c>
      <c r="F88" s="4">
        <v>45</v>
      </c>
      <c r="G88" s="5">
        <f t="shared" si="1"/>
        <v>44955</v>
      </c>
    </row>
    <row r="89" spans="1:7" ht="15.6">
      <c r="A89" s="6">
        <v>44179</v>
      </c>
      <c r="B89" s="7" t="s">
        <v>10</v>
      </c>
      <c r="C89" s="7" t="s">
        <v>20</v>
      </c>
      <c r="D89" s="7" t="s">
        <v>9</v>
      </c>
      <c r="E89" s="7">
        <v>52000</v>
      </c>
      <c r="F89" s="7">
        <v>15</v>
      </c>
      <c r="G89" s="8">
        <f t="shared" si="1"/>
        <v>780000</v>
      </c>
    </row>
    <row r="90" spans="1:7" ht="15.6">
      <c r="A90" s="3">
        <v>44183</v>
      </c>
      <c r="B90" s="4" t="s">
        <v>12</v>
      </c>
      <c r="C90" s="4" t="s">
        <v>16</v>
      </c>
      <c r="D90" s="4" t="s">
        <v>18</v>
      </c>
      <c r="E90" s="4">
        <v>52000</v>
      </c>
      <c r="F90" s="4">
        <v>39</v>
      </c>
      <c r="G90" s="5">
        <f t="shared" si="1"/>
        <v>2028000</v>
      </c>
    </row>
    <row r="91" spans="1:7" ht="15.6">
      <c r="A91" s="6">
        <v>44187</v>
      </c>
      <c r="B91" s="7" t="s">
        <v>19</v>
      </c>
      <c r="C91" s="7" t="s">
        <v>13</v>
      </c>
      <c r="D91" s="7" t="s">
        <v>14</v>
      </c>
      <c r="E91" s="7">
        <v>960</v>
      </c>
      <c r="F91" s="7">
        <v>33</v>
      </c>
      <c r="G91" s="8">
        <f t="shared" si="1"/>
        <v>31680</v>
      </c>
    </row>
    <row r="92" spans="1:7" ht="15.6">
      <c r="A92" s="3">
        <v>44191</v>
      </c>
      <c r="B92" s="4" t="s">
        <v>19</v>
      </c>
      <c r="C92" s="4" t="s">
        <v>16</v>
      </c>
      <c r="D92" s="4" t="s">
        <v>18</v>
      </c>
      <c r="E92" s="4">
        <v>19500</v>
      </c>
      <c r="F92" s="4">
        <v>45</v>
      </c>
      <c r="G92" s="5">
        <f t="shared" si="1"/>
        <v>877500</v>
      </c>
    </row>
    <row r="93" spans="1:7" ht="15.6">
      <c r="A93" s="6">
        <v>44195</v>
      </c>
      <c r="B93" s="7" t="s">
        <v>19</v>
      </c>
      <c r="C93" s="7" t="s">
        <v>20</v>
      </c>
      <c r="D93" s="7" t="s">
        <v>18</v>
      </c>
      <c r="E93" s="7">
        <v>2999</v>
      </c>
      <c r="F93" s="7">
        <v>33</v>
      </c>
      <c r="G93" s="8">
        <f t="shared" si="1"/>
        <v>98967</v>
      </c>
    </row>
    <row r="94" spans="1:7" ht="15.6">
      <c r="A94" s="3">
        <v>44199</v>
      </c>
      <c r="B94" s="4" t="s">
        <v>10</v>
      </c>
      <c r="C94" s="4" t="s">
        <v>13</v>
      </c>
      <c r="D94" s="4" t="s">
        <v>21</v>
      </c>
      <c r="E94" s="4">
        <v>1250</v>
      </c>
      <c r="F94" s="4">
        <v>14</v>
      </c>
      <c r="G94" s="5">
        <f t="shared" si="1"/>
        <v>17500</v>
      </c>
    </row>
    <row r="95" spans="1:7" ht="15.6">
      <c r="A95" s="6">
        <v>44203</v>
      </c>
      <c r="B95" s="7" t="s">
        <v>10</v>
      </c>
      <c r="C95" s="7" t="s">
        <v>17</v>
      </c>
      <c r="D95" s="7" t="s">
        <v>9</v>
      </c>
      <c r="E95" s="7">
        <v>120</v>
      </c>
      <c r="F95" s="7">
        <v>41</v>
      </c>
      <c r="G95" s="8">
        <f t="shared" si="1"/>
        <v>4920</v>
      </c>
    </row>
    <row r="96" spans="1:7" ht="15.6">
      <c r="A96" s="3">
        <v>44207</v>
      </c>
      <c r="B96" s="4" t="s">
        <v>12</v>
      </c>
      <c r="C96" s="4" t="s">
        <v>8</v>
      </c>
      <c r="D96" s="4" t="s">
        <v>18</v>
      </c>
      <c r="E96" s="4">
        <v>1450</v>
      </c>
      <c r="F96" s="4">
        <v>22</v>
      </c>
      <c r="G96" s="5">
        <f t="shared" si="1"/>
        <v>31900</v>
      </c>
    </row>
    <row r="97" spans="1:7" ht="15.6">
      <c r="A97" s="6">
        <v>44211</v>
      </c>
      <c r="B97" s="7" t="s">
        <v>19</v>
      </c>
      <c r="C97" s="7" t="s">
        <v>20</v>
      </c>
      <c r="D97" s="7" t="s">
        <v>9</v>
      </c>
      <c r="E97" s="7">
        <v>89999</v>
      </c>
      <c r="F97" s="7">
        <v>15</v>
      </c>
      <c r="G97" s="8">
        <f t="shared" si="1"/>
        <v>1349985</v>
      </c>
    </row>
    <row r="98" spans="1:7" ht="15.6">
      <c r="A98" s="3">
        <v>44215</v>
      </c>
      <c r="B98" s="4" t="s">
        <v>23</v>
      </c>
      <c r="C98" s="4" t="s">
        <v>16</v>
      </c>
      <c r="D98" s="4" t="s">
        <v>14</v>
      </c>
      <c r="E98" s="4">
        <v>1999</v>
      </c>
      <c r="F98" s="4">
        <v>48</v>
      </c>
      <c r="G98" s="5">
        <f t="shared" si="1"/>
        <v>95952</v>
      </c>
    </row>
    <row r="99" spans="1:7" ht="15.6">
      <c r="A99" s="6">
        <v>44219</v>
      </c>
      <c r="B99" s="7" t="s">
        <v>23</v>
      </c>
      <c r="C99" s="7" t="s">
        <v>22</v>
      </c>
      <c r="D99" s="7" t="s">
        <v>18</v>
      </c>
      <c r="E99" s="7">
        <v>2900</v>
      </c>
      <c r="F99" s="7">
        <v>49</v>
      </c>
      <c r="G99" s="8">
        <f t="shared" si="1"/>
        <v>142100</v>
      </c>
    </row>
    <row r="100" spans="1:7" ht="15.6">
      <c r="A100" s="3">
        <v>44223</v>
      </c>
      <c r="B100" s="4" t="s">
        <v>19</v>
      </c>
      <c r="C100" s="4" t="s">
        <v>20</v>
      </c>
      <c r="D100" s="4" t="s">
        <v>21</v>
      </c>
      <c r="E100" s="4">
        <v>700</v>
      </c>
      <c r="F100" s="4">
        <v>50</v>
      </c>
      <c r="G100" s="5">
        <f t="shared" si="1"/>
        <v>35000</v>
      </c>
    </row>
    <row r="101" spans="1:7" ht="15.6">
      <c r="A101" s="6">
        <v>44227</v>
      </c>
      <c r="B101" s="7" t="s">
        <v>15</v>
      </c>
      <c r="C101" s="7" t="s">
        <v>17</v>
      </c>
      <c r="D101" s="7" t="s">
        <v>18</v>
      </c>
      <c r="E101" s="7">
        <v>200</v>
      </c>
      <c r="F101" s="7">
        <v>41</v>
      </c>
      <c r="G101" s="8">
        <f t="shared" si="1"/>
        <v>8200</v>
      </c>
    </row>
    <row r="102" spans="1:7" ht="15.6">
      <c r="A102" s="3">
        <v>44231</v>
      </c>
      <c r="B102" s="4" t="s">
        <v>12</v>
      </c>
      <c r="C102" s="4" t="s">
        <v>16</v>
      </c>
      <c r="D102" s="4" t="s">
        <v>11</v>
      </c>
      <c r="E102" s="4">
        <v>49000</v>
      </c>
      <c r="F102" s="4">
        <v>29</v>
      </c>
      <c r="G102" s="5">
        <f t="shared" si="1"/>
        <v>1421000</v>
      </c>
    </row>
    <row r="103" spans="1:7" ht="15.6">
      <c r="A103" s="6">
        <v>44235</v>
      </c>
      <c r="B103" s="7" t="s">
        <v>7</v>
      </c>
      <c r="C103" s="7" t="s">
        <v>8</v>
      </c>
      <c r="D103" s="7" t="s">
        <v>21</v>
      </c>
      <c r="E103" s="7">
        <v>5599</v>
      </c>
      <c r="F103" s="7">
        <v>36</v>
      </c>
      <c r="G103" s="8">
        <f t="shared" si="1"/>
        <v>201564</v>
      </c>
    </row>
    <row r="104" spans="1:7" ht="15.6">
      <c r="A104" s="3">
        <v>44239</v>
      </c>
      <c r="B104" s="4" t="s">
        <v>15</v>
      </c>
      <c r="C104" s="4" t="s">
        <v>17</v>
      </c>
      <c r="D104" s="4" t="s">
        <v>18</v>
      </c>
      <c r="E104" s="4">
        <v>13500</v>
      </c>
      <c r="F104" s="4">
        <v>39</v>
      </c>
      <c r="G104" s="5">
        <f t="shared" si="1"/>
        <v>526500</v>
      </c>
    </row>
    <row r="105" spans="1:7" ht="15.6">
      <c r="A105" s="6">
        <v>44243</v>
      </c>
      <c r="B105" s="7" t="s">
        <v>12</v>
      </c>
      <c r="C105" s="7" t="s">
        <v>20</v>
      </c>
      <c r="D105" s="7" t="s">
        <v>18</v>
      </c>
      <c r="E105" s="7">
        <v>79999</v>
      </c>
      <c r="F105" s="7">
        <v>9</v>
      </c>
      <c r="G105" s="8">
        <f t="shared" si="1"/>
        <v>719991</v>
      </c>
    </row>
    <row r="106" spans="1:7" ht="15.6">
      <c r="A106" s="3">
        <v>44247</v>
      </c>
      <c r="B106" s="4" t="s">
        <v>19</v>
      </c>
      <c r="C106" s="4" t="s">
        <v>16</v>
      </c>
      <c r="D106" s="4" t="s">
        <v>14</v>
      </c>
      <c r="E106" s="4">
        <v>75200</v>
      </c>
      <c r="F106" s="4">
        <v>38</v>
      </c>
      <c r="G106" s="5">
        <f t="shared" si="1"/>
        <v>2857600</v>
      </c>
    </row>
    <row r="107" spans="1:7" ht="15.6">
      <c r="A107" s="6">
        <v>44251</v>
      </c>
      <c r="B107" s="7" t="s">
        <v>19</v>
      </c>
      <c r="C107" s="7" t="s">
        <v>13</v>
      </c>
      <c r="D107" s="7" t="s">
        <v>9</v>
      </c>
      <c r="E107" s="7">
        <v>550</v>
      </c>
      <c r="F107" s="7">
        <v>25</v>
      </c>
      <c r="G107" s="8">
        <f t="shared" si="1"/>
        <v>13750</v>
      </c>
    </row>
    <row r="108" spans="1:7" ht="15.6">
      <c r="A108" s="3">
        <v>44255</v>
      </c>
      <c r="B108" s="4" t="s">
        <v>7</v>
      </c>
      <c r="C108" s="4" t="s">
        <v>8</v>
      </c>
      <c r="D108" s="4" t="s">
        <v>9</v>
      </c>
      <c r="E108" s="4">
        <v>499</v>
      </c>
      <c r="F108" s="4">
        <v>50</v>
      </c>
      <c r="G108" s="5">
        <f t="shared" si="1"/>
        <v>24950</v>
      </c>
    </row>
    <row r="109" spans="1:7" ht="15.6">
      <c r="A109" s="6">
        <v>44259</v>
      </c>
      <c r="B109" s="7" t="s">
        <v>7</v>
      </c>
      <c r="C109" s="7" t="s">
        <v>8</v>
      </c>
      <c r="D109" s="7" t="s">
        <v>11</v>
      </c>
      <c r="E109" s="7">
        <v>5599</v>
      </c>
      <c r="F109" s="7">
        <v>33</v>
      </c>
      <c r="G109" s="8">
        <f t="shared" si="1"/>
        <v>184767</v>
      </c>
    </row>
    <row r="110" spans="1:7" ht="15.6">
      <c r="A110" s="3">
        <v>44263</v>
      </c>
      <c r="B110" s="4" t="s">
        <v>12</v>
      </c>
      <c r="C110" s="4" t="s">
        <v>13</v>
      </c>
      <c r="D110" s="4" t="s">
        <v>14</v>
      </c>
      <c r="E110" s="4">
        <v>1450</v>
      </c>
      <c r="F110" s="4">
        <v>44</v>
      </c>
      <c r="G110" s="5">
        <f t="shared" si="1"/>
        <v>63800</v>
      </c>
    </row>
    <row r="111" spans="1:7" ht="15.6">
      <c r="A111" s="6">
        <v>44267</v>
      </c>
      <c r="B111" s="7" t="s">
        <v>15</v>
      </c>
      <c r="C111" s="7" t="s">
        <v>17</v>
      </c>
      <c r="D111" s="7" t="s">
        <v>9</v>
      </c>
      <c r="E111" s="7">
        <v>999</v>
      </c>
      <c r="F111" s="7">
        <v>31</v>
      </c>
      <c r="G111" s="8">
        <f t="shared" si="1"/>
        <v>30969</v>
      </c>
    </row>
    <row r="112" spans="1:7" ht="15.6">
      <c r="A112" s="3">
        <v>44271</v>
      </c>
      <c r="B112" s="4" t="s">
        <v>15</v>
      </c>
      <c r="C112" s="4" t="s">
        <v>17</v>
      </c>
      <c r="D112" s="4" t="s">
        <v>18</v>
      </c>
      <c r="E112" s="4">
        <v>100</v>
      </c>
      <c r="F112" s="4">
        <v>11</v>
      </c>
      <c r="G112" s="5">
        <f t="shared" si="1"/>
        <v>1100</v>
      </c>
    </row>
    <row r="113" spans="1:7" ht="15.6">
      <c r="A113" s="6">
        <v>44275</v>
      </c>
      <c r="B113" s="7" t="s">
        <v>12</v>
      </c>
      <c r="C113" s="7" t="s">
        <v>8</v>
      </c>
      <c r="D113" s="7" t="s">
        <v>18</v>
      </c>
      <c r="E113" s="7">
        <v>2550</v>
      </c>
      <c r="F113" s="7">
        <v>48</v>
      </c>
      <c r="G113" s="8">
        <f t="shared" si="1"/>
        <v>122400</v>
      </c>
    </row>
    <row r="114" spans="1:7" ht="15.6">
      <c r="A114" s="3">
        <v>44279</v>
      </c>
      <c r="B114" s="4" t="s">
        <v>19</v>
      </c>
      <c r="C114" s="4" t="s">
        <v>20</v>
      </c>
      <c r="D114" s="4" t="s">
        <v>18</v>
      </c>
      <c r="E114" s="4">
        <v>33000</v>
      </c>
      <c r="F114" s="4">
        <v>26</v>
      </c>
      <c r="G114" s="5">
        <f t="shared" si="1"/>
        <v>858000</v>
      </c>
    </row>
    <row r="115" spans="1:7" ht="15.6">
      <c r="A115" s="6">
        <v>44283</v>
      </c>
      <c r="B115" s="7" t="s">
        <v>10</v>
      </c>
      <c r="C115" s="7" t="s">
        <v>8</v>
      </c>
      <c r="D115" s="7" t="s">
        <v>14</v>
      </c>
      <c r="E115" s="7">
        <v>800</v>
      </c>
      <c r="F115" s="7">
        <v>39</v>
      </c>
      <c r="G115" s="8">
        <f t="shared" si="1"/>
        <v>31200</v>
      </c>
    </row>
    <row r="116" spans="1:7" ht="15.6">
      <c r="A116" s="3">
        <v>44287</v>
      </c>
      <c r="B116" s="4" t="s">
        <v>23</v>
      </c>
      <c r="C116" s="4" t="s">
        <v>22</v>
      </c>
      <c r="D116" s="4" t="s">
        <v>14</v>
      </c>
      <c r="E116" s="4">
        <v>990</v>
      </c>
      <c r="F116" s="4">
        <v>9</v>
      </c>
      <c r="G116" s="5">
        <f t="shared" si="1"/>
        <v>8910</v>
      </c>
    </row>
    <row r="117" spans="1:7" ht="15.6">
      <c r="A117" s="6">
        <v>44291</v>
      </c>
      <c r="B117" s="7" t="s">
        <v>7</v>
      </c>
      <c r="C117" s="7" t="s">
        <v>8</v>
      </c>
      <c r="D117" s="7" t="s">
        <v>9</v>
      </c>
      <c r="E117" s="7">
        <v>5599</v>
      </c>
      <c r="F117" s="7">
        <v>41</v>
      </c>
      <c r="G117" s="8">
        <f t="shared" si="1"/>
        <v>229559</v>
      </c>
    </row>
    <row r="118" spans="1:7" ht="15.6">
      <c r="A118" s="3">
        <v>44295</v>
      </c>
      <c r="B118" s="4" t="s">
        <v>19</v>
      </c>
      <c r="C118" s="4" t="s">
        <v>20</v>
      </c>
      <c r="D118" s="4" t="s">
        <v>9</v>
      </c>
      <c r="E118" s="4">
        <v>499</v>
      </c>
      <c r="F118" s="4">
        <v>39</v>
      </c>
      <c r="G118" s="5">
        <f t="shared" si="1"/>
        <v>19461</v>
      </c>
    </row>
    <row r="119" spans="1:7" ht="15.6">
      <c r="A119" s="6">
        <v>44299</v>
      </c>
      <c r="B119" s="7" t="s">
        <v>23</v>
      </c>
      <c r="C119" s="7" t="s">
        <v>22</v>
      </c>
      <c r="D119" s="7" t="s">
        <v>9</v>
      </c>
      <c r="E119" s="7">
        <v>1999</v>
      </c>
      <c r="F119" s="7">
        <v>4</v>
      </c>
      <c r="G119" s="8">
        <f t="shared" si="1"/>
        <v>7996</v>
      </c>
    </row>
    <row r="120" spans="1:7" ht="15.6">
      <c r="A120" s="3">
        <v>44303</v>
      </c>
      <c r="B120" s="4" t="s">
        <v>12</v>
      </c>
      <c r="C120" s="4" t="s">
        <v>17</v>
      </c>
      <c r="D120" s="4" t="s">
        <v>9</v>
      </c>
      <c r="E120" s="4">
        <v>200</v>
      </c>
      <c r="F120" s="4">
        <v>8</v>
      </c>
      <c r="G120" s="5">
        <f t="shared" si="1"/>
        <v>1600</v>
      </c>
    </row>
    <row r="121" spans="1:7" ht="15.6">
      <c r="A121" s="6">
        <v>44307</v>
      </c>
      <c r="B121" s="7" t="s">
        <v>23</v>
      </c>
      <c r="C121" s="7" t="s">
        <v>22</v>
      </c>
      <c r="D121" s="7" t="s">
        <v>14</v>
      </c>
      <c r="E121" s="7">
        <v>1499</v>
      </c>
      <c r="F121" s="7">
        <v>27</v>
      </c>
      <c r="G121" s="8">
        <f t="shared" si="1"/>
        <v>40473</v>
      </c>
    </row>
    <row r="122" spans="1:7" ht="15.6">
      <c r="A122" s="3">
        <v>44311</v>
      </c>
      <c r="B122" s="4" t="s">
        <v>15</v>
      </c>
      <c r="C122" s="4" t="s">
        <v>17</v>
      </c>
      <c r="D122" s="4" t="s">
        <v>21</v>
      </c>
      <c r="E122" s="4">
        <v>120</v>
      </c>
      <c r="F122" s="4">
        <v>10</v>
      </c>
      <c r="G122" s="5">
        <f t="shared" si="1"/>
        <v>1200</v>
      </c>
    </row>
    <row r="123" spans="1:7" ht="15.6">
      <c r="A123" s="6">
        <v>44315</v>
      </c>
      <c r="B123" s="7" t="s">
        <v>10</v>
      </c>
      <c r="C123" s="7" t="s">
        <v>20</v>
      </c>
      <c r="D123" s="7" t="s">
        <v>21</v>
      </c>
      <c r="E123" s="7">
        <v>11999</v>
      </c>
      <c r="F123" s="7">
        <v>17</v>
      </c>
      <c r="G123" s="8">
        <f t="shared" si="1"/>
        <v>203983</v>
      </c>
    </row>
    <row r="124" spans="1:7" ht="15.6">
      <c r="A124" s="3">
        <v>44319</v>
      </c>
      <c r="B124" s="4" t="s">
        <v>10</v>
      </c>
      <c r="C124" s="4" t="s">
        <v>20</v>
      </c>
      <c r="D124" s="4" t="s">
        <v>11</v>
      </c>
      <c r="E124" s="4">
        <v>999</v>
      </c>
      <c r="F124" s="4">
        <v>27</v>
      </c>
      <c r="G124" s="5">
        <f t="shared" si="1"/>
        <v>26973</v>
      </c>
    </row>
    <row r="125" spans="1:7" ht="15.6">
      <c r="A125" s="6">
        <v>44323</v>
      </c>
      <c r="B125" s="7" t="s">
        <v>12</v>
      </c>
      <c r="C125" s="7" t="s">
        <v>20</v>
      </c>
      <c r="D125" s="7" t="s">
        <v>14</v>
      </c>
      <c r="E125" s="7">
        <v>2999</v>
      </c>
      <c r="F125" s="7">
        <v>43</v>
      </c>
      <c r="G125" s="8">
        <f t="shared" si="1"/>
        <v>128957</v>
      </c>
    </row>
    <row r="126" spans="1:7" ht="15.6">
      <c r="A126" s="3">
        <v>44327</v>
      </c>
      <c r="B126" s="4" t="s">
        <v>15</v>
      </c>
      <c r="C126" s="4" t="s">
        <v>16</v>
      </c>
      <c r="D126" s="4" t="s">
        <v>11</v>
      </c>
      <c r="E126" s="4">
        <v>47800</v>
      </c>
      <c r="F126" s="4">
        <v>9</v>
      </c>
      <c r="G126" s="5">
        <f t="shared" si="1"/>
        <v>430200</v>
      </c>
    </row>
    <row r="127" spans="1:7" ht="15.6">
      <c r="A127" s="6">
        <v>44331</v>
      </c>
      <c r="B127" s="7" t="s">
        <v>19</v>
      </c>
      <c r="C127" s="7" t="s">
        <v>16</v>
      </c>
      <c r="D127" s="7" t="s">
        <v>9</v>
      </c>
      <c r="E127" s="7">
        <v>22000</v>
      </c>
      <c r="F127" s="7">
        <v>42</v>
      </c>
      <c r="G127" s="8">
        <f t="shared" si="1"/>
        <v>924000</v>
      </c>
    </row>
    <row r="128" spans="1:7" ht="15.6">
      <c r="A128" s="3">
        <v>44335</v>
      </c>
      <c r="B128" s="4" t="s">
        <v>19</v>
      </c>
      <c r="C128" s="4" t="s">
        <v>13</v>
      </c>
      <c r="D128" s="4" t="s">
        <v>11</v>
      </c>
      <c r="E128" s="4">
        <v>1250</v>
      </c>
      <c r="F128" s="4">
        <v>6</v>
      </c>
      <c r="G128" s="5">
        <f t="shared" si="1"/>
        <v>7500</v>
      </c>
    </row>
    <row r="129" spans="1:7" ht="15.6">
      <c r="A129" s="6">
        <v>44339</v>
      </c>
      <c r="B129" s="7" t="s">
        <v>15</v>
      </c>
      <c r="C129" s="7" t="s">
        <v>17</v>
      </c>
      <c r="D129" s="7" t="s">
        <v>14</v>
      </c>
      <c r="E129" s="7">
        <v>999</v>
      </c>
      <c r="F129" s="7">
        <v>28</v>
      </c>
      <c r="G129" s="8">
        <f t="shared" si="1"/>
        <v>27972</v>
      </c>
    </row>
    <row r="130" spans="1:7" ht="15.6">
      <c r="A130" s="3">
        <v>44343</v>
      </c>
      <c r="B130" s="4" t="s">
        <v>19</v>
      </c>
      <c r="C130" s="4" t="s">
        <v>13</v>
      </c>
      <c r="D130" s="4" t="s">
        <v>21</v>
      </c>
      <c r="E130" s="4">
        <v>1450</v>
      </c>
      <c r="F130" s="4">
        <v>13</v>
      </c>
      <c r="G130" s="5">
        <f t="shared" si="1"/>
        <v>18850</v>
      </c>
    </row>
    <row r="131" spans="1:7" ht="15.6">
      <c r="A131" s="6">
        <v>44347</v>
      </c>
      <c r="B131" s="7" t="s">
        <v>19</v>
      </c>
      <c r="C131" s="7" t="s">
        <v>13</v>
      </c>
      <c r="D131" s="7" t="s">
        <v>21</v>
      </c>
      <c r="E131" s="7">
        <v>23999</v>
      </c>
      <c r="F131" s="7">
        <v>8</v>
      </c>
      <c r="G131" s="8">
        <f t="shared" ref="G131:G194" si="2">E131*F131</f>
        <v>191992</v>
      </c>
    </row>
    <row r="132" spans="1:7" ht="15.6">
      <c r="A132" s="3">
        <v>44351</v>
      </c>
      <c r="B132" s="4" t="s">
        <v>10</v>
      </c>
      <c r="C132" s="4" t="s">
        <v>16</v>
      </c>
      <c r="D132" s="4" t="s">
        <v>21</v>
      </c>
      <c r="E132" s="4">
        <v>92000</v>
      </c>
      <c r="F132" s="4">
        <v>7</v>
      </c>
      <c r="G132" s="5">
        <f t="shared" si="2"/>
        <v>644000</v>
      </c>
    </row>
    <row r="133" spans="1:7" ht="15.6">
      <c r="A133" s="6">
        <v>44355</v>
      </c>
      <c r="B133" s="7" t="s">
        <v>23</v>
      </c>
      <c r="C133" s="7" t="s">
        <v>22</v>
      </c>
      <c r="D133" s="7" t="s">
        <v>14</v>
      </c>
      <c r="E133" s="7">
        <v>699</v>
      </c>
      <c r="F133" s="7">
        <v>45</v>
      </c>
      <c r="G133" s="8">
        <f t="shared" si="2"/>
        <v>31455</v>
      </c>
    </row>
    <row r="134" spans="1:7" ht="15.6">
      <c r="A134" s="3">
        <v>44359</v>
      </c>
      <c r="B134" s="4" t="s">
        <v>7</v>
      </c>
      <c r="C134" s="4" t="s">
        <v>8</v>
      </c>
      <c r="D134" s="4" t="s">
        <v>9</v>
      </c>
      <c r="E134" s="4">
        <v>2550</v>
      </c>
      <c r="F134" s="4">
        <v>22</v>
      </c>
      <c r="G134" s="5">
        <f t="shared" si="2"/>
        <v>56100</v>
      </c>
    </row>
    <row r="135" spans="1:7" ht="15.6">
      <c r="A135" s="6">
        <v>44363</v>
      </c>
      <c r="B135" s="7" t="s">
        <v>12</v>
      </c>
      <c r="C135" s="7" t="s">
        <v>20</v>
      </c>
      <c r="D135" s="7" t="s">
        <v>21</v>
      </c>
      <c r="E135" s="7">
        <v>22000</v>
      </c>
      <c r="F135" s="7">
        <v>4</v>
      </c>
      <c r="G135" s="8">
        <f t="shared" si="2"/>
        <v>88000</v>
      </c>
    </row>
    <row r="136" spans="1:7" ht="15.6">
      <c r="A136" s="3">
        <v>44367</v>
      </c>
      <c r="B136" s="4" t="s">
        <v>19</v>
      </c>
      <c r="C136" s="4" t="s">
        <v>20</v>
      </c>
      <c r="D136" s="4" t="s">
        <v>9</v>
      </c>
      <c r="E136" s="4">
        <v>22000</v>
      </c>
      <c r="F136" s="4">
        <v>10</v>
      </c>
      <c r="G136" s="5">
        <f t="shared" si="2"/>
        <v>220000</v>
      </c>
    </row>
    <row r="137" spans="1:7" ht="15.6">
      <c r="A137" s="6">
        <v>44371</v>
      </c>
      <c r="B137" s="7" t="s">
        <v>10</v>
      </c>
      <c r="C137" s="7" t="s">
        <v>22</v>
      </c>
      <c r="D137" s="7" t="s">
        <v>14</v>
      </c>
      <c r="E137" s="7">
        <v>1499</v>
      </c>
      <c r="F137" s="7">
        <v>16</v>
      </c>
      <c r="G137" s="8">
        <f t="shared" si="2"/>
        <v>23984</v>
      </c>
    </row>
    <row r="138" spans="1:7" ht="15.6">
      <c r="A138" s="3">
        <v>44375</v>
      </c>
      <c r="B138" s="4" t="s">
        <v>15</v>
      </c>
      <c r="C138" s="4" t="s">
        <v>17</v>
      </c>
      <c r="D138" s="4" t="s">
        <v>21</v>
      </c>
      <c r="E138" s="4">
        <v>120</v>
      </c>
      <c r="F138" s="4">
        <v>22</v>
      </c>
      <c r="G138" s="5">
        <f t="shared" si="2"/>
        <v>2640</v>
      </c>
    </row>
    <row r="139" spans="1:7" ht="15.6">
      <c r="A139" s="6">
        <v>44379</v>
      </c>
      <c r="B139" s="7" t="s">
        <v>7</v>
      </c>
      <c r="C139" s="7" t="s">
        <v>8</v>
      </c>
      <c r="D139" s="7" t="s">
        <v>11</v>
      </c>
      <c r="E139" s="7">
        <v>1450</v>
      </c>
      <c r="F139" s="7">
        <v>20</v>
      </c>
      <c r="G139" s="8">
        <f t="shared" si="2"/>
        <v>29000</v>
      </c>
    </row>
    <row r="140" spans="1:7" ht="15.6">
      <c r="A140" s="3">
        <v>44383</v>
      </c>
      <c r="B140" s="4" t="s">
        <v>23</v>
      </c>
      <c r="C140" s="4" t="s">
        <v>22</v>
      </c>
      <c r="D140" s="4" t="s">
        <v>14</v>
      </c>
      <c r="E140" s="4">
        <v>1999</v>
      </c>
      <c r="F140" s="4">
        <v>23</v>
      </c>
      <c r="G140" s="5">
        <f t="shared" si="2"/>
        <v>45977</v>
      </c>
    </row>
    <row r="141" spans="1:7" ht="15.6">
      <c r="A141" s="6">
        <v>44387</v>
      </c>
      <c r="B141" s="7" t="s">
        <v>10</v>
      </c>
      <c r="C141" s="7" t="s">
        <v>8</v>
      </c>
      <c r="D141" s="7" t="s">
        <v>24</v>
      </c>
      <c r="E141" s="7">
        <v>800</v>
      </c>
      <c r="F141" s="7">
        <v>43</v>
      </c>
      <c r="G141" s="8">
        <f t="shared" si="2"/>
        <v>34400</v>
      </c>
    </row>
    <row r="142" spans="1:7" ht="15.6">
      <c r="A142" s="3">
        <v>44391</v>
      </c>
      <c r="B142" s="4" t="s">
        <v>15</v>
      </c>
      <c r="C142" s="4" t="s">
        <v>17</v>
      </c>
      <c r="D142" s="4" t="s">
        <v>21</v>
      </c>
      <c r="E142" s="4">
        <v>100</v>
      </c>
      <c r="F142" s="4">
        <v>41</v>
      </c>
      <c r="G142" s="5">
        <f t="shared" si="2"/>
        <v>4100</v>
      </c>
    </row>
    <row r="143" spans="1:7" ht="15.6">
      <c r="A143" s="6">
        <v>44395</v>
      </c>
      <c r="B143" s="7" t="s">
        <v>7</v>
      </c>
      <c r="C143" s="7" t="s">
        <v>16</v>
      </c>
      <c r="D143" s="7" t="s">
        <v>21</v>
      </c>
      <c r="E143" s="7">
        <v>13999</v>
      </c>
      <c r="F143" s="7">
        <v>37</v>
      </c>
      <c r="G143" s="8">
        <f t="shared" si="2"/>
        <v>517963</v>
      </c>
    </row>
    <row r="144" spans="1:7" ht="15.6">
      <c r="A144" s="3">
        <v>44399</v>
      </c>
      <c r="B144" s="4" t="s">
        <v>12</v>
      </c>
      <c r="C144" s="4" t="s">
        <v>20</v>
      </c>
      <c r="D144" s="4" t="s">
        <v>18</v>
      </c>
      <c r="E144" s="4">
        <v>22000</v>
      </c>
      <c r="F144" s="4">
        <v>45</v>
      </c>
      <c r="G144" s="5">
        <f t="shared" si="2"/>
        <v>990000</v>
      </c>
    </row>
    <row r="145" spans="1:7" ht="15.6">
      <c r="A145" s="6">
        <v>44403</v>
      </c>
      <c r="B145" s="7" t="s">
        <v>19</v>
      </c>
      <c r="C145" s="7" t="s">
        <v>20</v>
      </c>
      <c r="D145" s="7" t="s">
        <v>24</v>
      </c>
      <c r="E145" s="7">
        <v>89999</v>
      </c>
      <c r="F145" s="7">
        <v>15</v>
      </c>
      <c r="G145" s="8">
        <f t="shared" si="2"/>
        <v>1349985</v>
      </c>
    </row>
    <row r="146" spans="1:7" ht="15.6">
      <c r="A146" s="3">
        <v>44407</v>
      </c>
      <c r="B146" s="4" t="s">
        <v>7</v>
      </c>
      <c r="C146" s="4" t="s">
        <v>8</v>
      </c>
      <c r="D146" s="4" t="s">
        <v>18</v>
      </c>
      <c r="E146" s="4">
        <v>13999</v>
      </c>
      <c r="F146" s="4">
        <v>22</v>
      </c>
      <c r="G146" s="5">
        <f t="shared" si="2"/>
        <v>307978</v>
      </c>
    </row>
    <row r="147" spans="1:7" ht="15.6">
      <c r="A147" s="6">
        <v>44411</v>
      </c>
      <c r="B147" s="7" t="s">
        <v>10</v>
      </c>
      <c r="C147" s="7" t="s">
        <v>22</v>
      </c>
      <c r="D147" s="7" t="s">
        <v>14</v>
      </c>
      <c r="E147" s="7">
        <v>2900</v>
      </c>
      <c r="F147" s="7">
        <v>20</v>
      </c>
      <c r="G147" s="8">
        <f t="shared" si="2"/>
        <v>58000</v>
      </c>
    </row>
    <row r="148" spans="1:7" ht="15.6">
      <c r="A148" s="3">
        <v>44415</v>
      </c>
      <c r="B148" s="4" t="s">
        <v>19</v>
      </c>
      <c r="C148" s="4" t="s">
        <v>20</v>
      </c>
      <c r="D148" s="4" t="s">
        <v>18</v>
      </c>
      <c r="E148" s="4">
        <v>33000</v>
      </c>
      <c r="F148" s="4">
        <v>16</v>
      </c>
      <c r="G148" s="5">
        <f t="shared" si="2"/>
        <v>528000</v>
      </c>
    </row>
    <row r="149" spans="1:7" ht="15.6">
      <c r="A149" s="6">
        <v>44419</v>
      </c>
      <c r="B149" s="7" t="s">
        <v>10</v>
      </c>
      <c r="C149" s="7" t="s">
        <v>20</v>
      </c>
      <c r="D149" s="7" t="s">
        <v>11</v>
      </c>
      <c r="E149" s="7">
        <v>22000</v>
      </c>
      <c r="F149" s="7">
        <v>17</v>
      </c>
      <c r="G149" s="8">
        <f t="shared" si="2"/>
        <v>374000</v>
      </c>
    </row>
    <row r="150" spans="1:7" ht="15.6">
      <c r="A150" s="3">
        <v>44423</v>
      </c>
      <c r="B150" s="4" t="s">
        <v>10</v>
      </c>
      <c r="C150" s="4" t="s">
        <v>22</v>
      </c>
      <c r="D150" s="4" t="s">
        <v>11</v>
      </c>
      <c r="E150" s="4">
        <v>45000</v>
      </c>
      <c r="F150" s="4">
        <v>50</v>
      </c>
      <c r="G150" s="5">
        <f t="shared" si="2"/>
        <v>2250000</v>
      </c>
    </row>
    <row r="151" spans="1:7" ht="15.6">
      <c r="A151" s="6">
        <v>44427</v>
      </c>
      <c r="B151" s="7" t="s">
        <v>19</v>
      </c>
      <c r="C151" s="7" t="s">
        <v>16</v>
      </c>
      <c r="D151" s="7" t="s">
        <v>14</v>
      </c>
      <c r="E151" s="7">
        <v>499</v>
      </c>
      <c r="F151" s="7">
        <v>4</v>
      </c>
      <c r="G151" s="8">
        <f t="shared" si="2"/>
        <v>1996</v>
      </c>
    </row>
    <row r="152" spans="1:7" ht="15.6">
      <c r="A152" s="3">
        <v>44431</v>
      </c>
      <c r="B152" s="4" t="s">
        <v>23</v>
      </c>
      <c r="C152" s="4" t="s">
        <v>22</v>
      </c>
      <c r="D152" s="4" t="s">
        <v>18</v>
      </c>
      <c r="E152" s="4">
        <v>590</v>
      </c>
      <c r="F152" s="4">
        <v>43</v>
      </c>
      <c r="G152" s="5">
        <f t="shared" si="2"/>
        <v>25370</v>
      </c>
    </row>
    <row r="153" spans="1:7" ht="15.6">
      <c r="A153" s="6">
        <v>44435</v>
      </c>
      <c r="B153" s="7" t="s">
        <v>12</v>
      </c>
      <c r="C153" s="7" t="s">
        <v>22</v>
      </c>
      <c r="D153" s="7" t="s">
        <v>11</v>
      </c>
      <c r="E153" s="7">
        <v>590</v>
      </c>
      <c r="F153" s="7">
        <v>42</v>
      </c>
      <c r="G153" s="8">
        <f t="shared" si="2"/>
        <v>24780</v>
      </c>
    </row>
    <row r="154" spans="1:7" ht="15.6">
      <c r="A154" s="3">
        <v>44439</v>
      </c>
      <c r="B154" s="4" t="s">
        <v>15</v>
      </c>
      <c r="C154" s="4" t="s">
        <v>17</v>
      </c>
      <c r="D154" s="4" t="s">
        <v>9</v>
      </c>
      <c r="E154" s="4">
        <v>12000</v>
      </c>
      <c r="F154" s="4">
        <v>9</v>
      </c>
      <c r="G154" s="5">
        <f t="shared" si="2"/>
        <v>108000</v>
      </c>
    </row>
    <row r="155" spans="1:7" ht="15.6">
      <c r="A155" s="6">
        <v>44443</v>
      </c>
      <c r="B155" s="7" t="s">
        <v>19</v>
      </c>
      <c r="C155" s="7" t="s">
        <v>20</v>
      </c>
      <c r="D155" s="7" t="s">
        <v>24</v>
      </c>
      <c r="E155" s="7">
        <v>52000</v>
      </c>
      <c r="F155" s="7">
        <v>40</v>
      </c>
      <c r="G155" s="8">
        <f t="shared" si="2"/>
        <v>2080000</v>
      </c>
    </row>
    <row r="156" spans="1:7" ht="15.6">
      <c r="A156" s="3">
        <v>44447</v>
      </c>
      <c r="B156" s="4" t="s">
        <v>19</v>
      </c>
      <c r="C156" s="4" t="s">
        <v>13</v>
      </c>
      <c r="D156" s="4" t="s">
        <v>18</v>
      </c>
      <c r="E156" s="4">
        <v>7999</v>
      </c>
      <c r="F156" s="4">
        <v>14</v>
      </c>
      <c r="G156" s="5">
        <f t="shared" si="2"/>
        <v>111986</v>
      </c>
    </row>
    <row r="157" spans="1:7" ht="15.6">
      <c r="A157" s="6">
        <v>44451</v>
      </c>
      <c r="B157" s="7" t="s">
        <v>10</v>
      </c>
      <c r="C157" s="7" t="s">
        <v>13</v>
      </c>
      <c r="D157" s="7" t="s">
        <v>21</v>
      </c>
      <c r="E157" s="7">
        <v>5000</v>
      </c>
      <c r="F157" s="7">
        <v>9</v>
      </c>
      <c r="G157" s="8">
        <f t="shared" si="2"/>
        <v>45000</v>
      </c>
    </row>
    <row r="158" spans="1:7" ht="15.6">
      <c r="A158" s="3">
        <v>44455</v>
      </c>
      <c r="B158" s="4" t="s">
        <v>19</v>
      </c>
      <c r="C158" s="4" t="s">
        <v>20</v>
      </c>
      <c r="D158" s="4" t="s">
        <v>18</v>
      </c>
      <c r="E158" s="4">
        <v>79999</v>
      </c>
      <c r="F158" s="4">
        <v>10</v>
      </c>
      <c r="G158" s="5">
        <f t="shared" si="2"/>
        <v>799990</v>
      </c>
    </row>
    <row r="159" spans="1:7" ht="15.6">
      <c r="A159" s="6">
        <v>44459</v>
      </c>
      <c r="B159" s="7" t="s">
        <v>23</v>
      </c>
      <c r="C159" s="7" t="s">
        <v>16</v>
      </c>
      <c r="D159" s="7" t="s">
        <v>14</v>
      </c>
      <c r="E159" s="7">
        <v>1999</v>
      </c>
      <c r="F159" s="7">
        <v>37</v>
      </c>
      <c r="G159" s="8">
        <f t="shared" si="2"/>
        <v>73963</v>
      </c>
    </row>
    <row r="160" spans="1:7" ht="15.6">
      <c r="A160" s="3">
        <v>44463</v>
      </c>
      <c r="B160" s="4" t="s">
        <v>19</v>
      </c>
      <c r="C160" s="4" t="s">
        <v>20</v>
      </c>
      <c r="D160" s="4" t="s">
        <v>18</v>
      </c>
      <c r="E160" s="4">
        <v>89999</v>
      </c>
      <c r="F160" s="4">
        <v>29</v>
      </c>
      <c r="G160" s="5">
        <f t="shared" si="2"/>
        <v>2609971</v>
      </c>
    </row>
    <row r="161" spans="1:7" ht="15.6">
      <c r="A161" s="6">
        <v>44467</v>
      </c>
      <c r="B161" s="7" t="s">
        <v>12</v>
      </c>
      <c r="C161" s="7" t="s">
        <v>20</v>
      </c>
      <c r="D161" s="7" t="s">
        <v>9</v>
      </c>
      <c r="E161" s="7">
        <v>799</v>
      </c>
      <c r="F161" s="7">
        <v>44</v>
      </c>
      <c r="G161" s="8">
        <f t="shared" si="2"/>
        <v>35156</v>
      </c>
    </row>
    <row r="162" spans="1:7" ht="15.6">
      <c r="A162" s="3">
        <v>44471</v>
      </c>
      <c r="B162" s="4" t="s">
        <v>19</v>
      </c>
      <c r="C162" s="4" t="s">
        <v>20</v>
      </c>
      <c r="D162" s="4" t="s">
        <v>11</v>
      </c>
      <c r="E162" s="4">
        <v>3990</v>
      </c>
      <c r="F162" s="4">
        <v>31</v>
      </c>
      <c r="G162" s="5">
        <f t="shared" si="2"/>
        <v>123690</v>
      </c>
    </row>
    <row r="163" spans="1:7" ht="15.6">
      <c r="A163" s="6">
        <v>44475</v>
      </c>
      <c r="B163" s="7" t="s">
        <v>10</v>
      </c>
      <c r="C163" s="7" t="s">
        <v>20</v>
      </c>
      <c r="D163" s="7" t="s">
        <v>14</v>
      </c>
      <c r="E163" s="7">
        <v>52000</v>
      </c>
      <c r="F163" s="7">
        <v>29</v>
      </c>
      <c r="G163" s="8">
        <f t="shared" si="2"/>
        <v>1508000</v>
      </c>
    </row>
    <row r="164" spans="1:7" ht="15.6">
      <c r="A164" s="3">
        <v>44479</v>
      </c>
      <c r="B164" s="4" t="s">
        <v>10</v>
      </c>
      <c r="C164" s="4" t="s">
        <v>8</v>
      </c>
      <c r="D164" s="4" t="s">
        <v>18</v>
      </c>
      <c r="E164" s="4">
        <v>13999</v>
      </c>
      <c r="F164" s="4">
        <v>34</v>
      </c>
      <c r="G164" s="5">
        <f t="shared" si="2"/>
        <v>475966</v>
      </c>
    </row>
    <row r="165" spans="1:7" ht="15.6">
      <c r="A165" s="6">
        <v>44483</v>
      </c>
      <c r="B165" s="7" t="s">
        <v>15</v>
      </c>
      <c r="C165" s="7" t="s">
        <v>17</v>
      </c>
      <c r="D165" s="7" t="s">
        <v>14</v>
      </c>
      <c r="E165" s="7">
        <v>14500</v>
      </c>
      <c r="F165" s="7">
        <v>29</v>
      </c>
      <c r="G165" s="8">
        <f t="shared" si="2"/>
        <v>420500</v>
      </c>
    </row>
    <row r="166" spans="1:7" ht="15.6">
      <c r="A166" s="3">
        <v>44487</v>
      </c>
      <c r="B166" s="4" t="s">
        <v>19</v>
      </c>
      <c r="C166" s="4" t="s">
        <v>13</v>
      </c>
      <c r="D166" s="4" t="s">
        <v>24</v>
      </c>
      <c r="E166" s="4">
        <v>23999</v>
      </c>
      <c r="F166" s="4">
        <v>25</v>
      </c>
      <c r="G166" s="5">
        <f t="shared" si="2"/>
        <v>599975</v>
      </c>
    </row>
    <row r="167" spans="1:7" ht="15.6">
      <c r="A167" s="6">
        <v>44491</v>
      </c>
      <c r="B167" s="7" t="s">
        <v>19</v>
      </c>
      <c r="C167" s="7" t="s">
        <v>13</v>
      </c>
      <c r="D167" s="7" t="s">
        <v>18</v>
      </c>
      <c r="E167" s="7">
        <v>1250</v>
      </c>
      <c r="F167" s="7">
        <v>31</v>
      </c>
      <c r="G167" s="8">
        <f t="shared" si="2"/>
        <v>38750</v>
      </c>
    </row>
    <row r="168" spans="1:7" ht="15.6">
      <c r="A168" s="3">
        <v>44495</v>
      </c>
      <c r="B168" s="4" t="s">
        <v>23</v>
      </c>
      <c r="C168" s="4" t="s">
        <v>16</v>
      </c>
      <c r="D168" s="4" t="s">
        <v>18</v>
      </c>
      <c r="E168" s="4">
        <v>35600</v>
      </c>
      <c r="F168" s="4">
        <v>16</v>
      </c>
      <c r="G168" s="5">
        <f t="shared" si="2"/>
        <v>569600</v>
      </c>
    </row>
    <row r="169" spans="1:7" ht="15.6">
      <c r="A169" s="6">
        <v>44499</v>
      </c>
      <c r="B169" s="7" t="s">
        <v>15</v>
      </c>
      <c r="C169" s="7" t="s">
        <v>17</v>
      </c>
      <c r="D169" s="7" t="s">
        <v>18</v>
      </c>
      <c r="E169" s="7">
        <v>65000</v>
      </c>
      <c r="F169" s="7">
        <v>48</v>
      </c>
      <c r="G169" s="8">
        <f t="shared" si="2"/>
        <v>3120000</v>
      </c>
    </row>
    <row r="170" spans="1:7" ht="15.6">
      <c r="A170" s="3">
        <v>44503</v>
      </c>
      <c r="B170" s="4" t="s">
        <v>12</v>
      </c>
      <c r="C170" s="4" t="s">
        <v>17</v>
      </c>
      <c r="D170" s="4" t="s">
        <v>24</v>
      </c>
      <c r="E170" s="4">
        <v>12000</v>
      </c>
      <c r="F170" s="4">
        <v>22</v>
      </c>
      <c r="G170" s="5">
        <f t="shared" si="2"/>
        <v>264000</v>
      </c>
    </row>
    <row r="171" spans="1:7" ht="15.6">
      <c r="A171" s="6">
        <v>44507</v>
      </c>
      <c r="B171" s="7" t="s">
        <v>23</v>
      </c>
      <c r="C171" s="7" t="s">
        <v>22</v>
      </c>
      <c r="D171" s="7" t="s">
        <v>18</v>
      </c>
      <c r="E171" s="7">
        <v>699</v>
      </c>
      <c r="F171" s="7">
        <v>6</v>
      </c>
      <c r="G171" s="8">
        <f t="shared" si="2"/>
        <v>4194</v>
      </c>
    </row>
    <row r="172" spans="1:7" ht="15.6">
      <c r="A172" s="3">
        <v>44511</v>
      </c>
      <c r="B172" s="4" t="s">
        <v>23</v>
      </c>
      <c r="C172" s="4" t="s">
        <v>16</v>
      </c>
      <c r="D172" s="4" t="s">
        <v>14</v>
      </c>
      <c r="E172" s="4">
        <v>990</v>
      </c>
      <c r="F172" s="4">
        <v>12</v>
      </c>
      <c r="G172" s="5">
        <f t="shared" si="2"/>
        <v>11880</v>
      </c>
    </row>
    <row r="173" spans="1:7" ht="15.6">
      <c r="A173" s="6">
        <v>44515</v>
      </c>
      <c r="B173" s="7" t="s">
        <v>23</v>
      </c>
      <c r="C173" s="7" t="s">
        <v>22</v>
      </c>
      <c r="D173" s="7" t="s">
        <v>9</v>
      </c>
      <c r="E173" s="7">
        <v>450</v>
      </c>
      <c r="F173" s="7">
        <v>44</v>
      </c>
      <c r="G173" s="8">
        <f t="shared" si="2"/>
        <v>19800</v>
      </c>
    </row>
    <row r="174" spans="1:7" ht="15.6">
      <c r="A174" s="3">
        <v>44519</v>
      </c>
      <c r="B174" s="4" t="s">
        <v>23</v>
      </c>
      <c r="C174" s="4" t="s">
        <v>16</v>
      </c>
      <c r="D174" s="4" t="s">
        <v>9</v>
      </c>
      <c r="E174" s="4">
        <v>1499</v>
      </c>
      <c r="F174" s="4">
        <v>15</v>
      </c>
      <c r="G174" s="5">
        <f t="shared" si="2"/>
        <v>22485</v>
      </c>
    </row>
    <row r="175" spans="1:7" ht="15.6">
      <c r="A175" s="6">
        <v>44523</v>
      </c>
      <c r="B175" s="7" t="s">
        <v>7</v>
      </c>
      <c r="C175" s="7" t="s">
        <v>8</v>
      </c>
      <c r="D175" s="7" t="s">
        <v>21</v>
      </c>
      <c r="E175" s="7">
        <v>499</v>
      </c>
      <c r="F175" s="7">
        <v>26</v>
      </c>
      <c r="G175" s="8">
        <f t="shared" si="2"/>
        <v>12974</v>
      </c>
    </row>
    <row r="176" spans="1:7" ht="15.6">
      <c r="A176" s="3">
        <v>44527</v>
      </c>
      <c r="B176" s="4" t="s">
        <v>19</v>
      </c>
      <c r="C176" s="4" t="s">
        <v>13</v>
      </c>
      <c r="D176" s="4" t="s">
        <v>21</v>
      </c>
      <c r="E176" s="4">
        <v>960</v>
      </c>
      <c r="F176" s="4">
        <v>16</v>
      </c>
      <c r="G176" s="5">
        <f t="shared" si="2"/>
        <v>15360</v>
      </c>
    </row>
    <row r="177" spans="1:7" ht="15.6">
      <c r="A177" s="6">
        <v>44531</v>
      </c>
      <c r="B177" s="7" t="s">
        <v>12</v>
      </c>
      <c r="C177" s="7" t="s">
        <v>16</v>
      </c>
      <c r="D177" s="7" t="s">
        <v>18</v>
      </c>
      <c r="E177" s="7">
        <v>5599</v>
      </c>
      <c r="F177" s="7">
        <v>35</v>
      </c>
      <c r="G177" s="8">
        <f t="shared" si="2"/>
        <v>195965</v>
      </c>
    </row>
    <row r="178" spans="1:7" ht="15.6">
      <c r="A178" s="3">
        <v>44535</v>
      </c>
      <c r="B178" s="4" t="s">
        <v>15</v>
      </c>
      <c r="C178" s="4" t="s">
        <v>17</v>
      </c>
      <c r="D178" s="4" t="s">
        <v>9</v>
      </c>
      <c r="E178" s="4">
        <v>89</v>
      </c>
      <c r="F178" s="4">
        <v>36</v>
      </c>
      <c r="G178" s="5">
        <f t="shared" si="2"/>
        <v>3204</v>
      </c>
    </row>
    <row r="179" spans="1:7" ht="15.6">
      <c r="A179" s="6">
        <v>44539</v>
      </c>
      <c r="B179" s="7" t="s">
        <v>7</v>
      </c>
      <c r="C179" s="7" t="s">
        <v>8</v>
      </c>
      <c r="D179" s="7" t="s">
        <v>14</v>
      </c>
      <c r="E179" s="7">
        <v>2550</v>
      </c>
      <c r="F179" s="7">
        <v>20</v>
      </c>
      <c r="G179" s="8">
        <f t="shared" si="2"/>
        <v>51000</v>
      </c>
    </row>
    <row r="180" spans="1:7" ht="15.6">
      <c r="A180" s="3">
        <v>44543</v>
      </c>
      <c r="B180" s="4" t="s">
        <v>7</v>
      </c>
      <c r="C180" s="4" t="s">
        <v>8</v>
      </c>
      <c r="D180" s="4" t="s">
        <v>9</v>
      </c>
      <c r="E180" s="4">
        <v>1450</v>
      </c>
      <c r="F180" s="4">
        <v>47</v>
      </c>
      <c r="G180" s="5">
        <f t="shared" si="2"/>
        <v>68150</v>
      </c>
    </row>
    <row r="181" spans="1:7" ht="15.6">
      <c r="A181" s="6">
        <v>44547</v>
      </c>
      <c r="B181" s="7" t="s">
        <v>23</v>
      </c>
      <c r="C181" s="7" t="s">
        <v>22</v>
      </c>
      <c r="D181" s="7" t="s">
        <v>18</v>
      </c>
      <c r="E181" s="7">
        <v>2900</v>
      </c>
      <c r="F181" s="7">
        <v>6</v>
      </c>
      <c r="G181" s="8">
        <f t="shared" si="2"/>
        <v>17400</v>
      </c>
    </row>
    <row r="182" spans="1:7" ht="15.6">
      <c r="A182" s="3">
        <v>44551</v>
      </c>
      <c r="B182" s="4" t="s">
        <v>15</v>
      </c>
      <c r="C182" s="4" t="s">
        <v>17</v>
      </c>
      <c r="D182" s="4" t="s">
        <v>21</v>
      </c>
      <c r="E182" s="4">
        <v>120</v>
      </c>
      <c r="F182" s="4">
        <v>6</v>
      </c>
      <c r="G182" s="5">
        <f t="shared" si="2"/>
        <v>720</v>
      </c>
    </row>
    <row r="183" spans="1:7" ht="15.6">
      <c r="A183" s="6">
        <v>44555</v>
      </c>
      <c r="B183" s="7" t="s">
        <v>19</v>
      </c>
      <c r="C183" s="7" t="s">
        <v>20</v>
      </c>
      <c r="D183" s="7" t="s">
        <v>21</v>
      </c>
      <c r="E183" s="7">
        <v>52000</v>
      </c>
      <c r="F183" s="7">
        <v>41</v>
      </c>
      <c r="G183" s="8">
        <f t="shared" si="2"/>
        <v>2132000</v>
      </c>
    </row>
    <row r="184" spans="1:7" ht="15.6">
      <c r="A184" s="3">
        <v>44559</v>
      </c>
      <c r="B184" s="4" t="s">
        <v>23</v>
      </c>
      <c r="C184" s="4" t="s">
        <v>22</v>
      </c>
      <c r="D184" s="4" t="s">
        <v>14</v>
      </c>
      <c r="E184" s="4">
        <v>590</v>
      </c>
      <c r="F184" s="4">
        <v>29</v>
      </c>
      <c r="G184" s="5">
        <f t="shared" si="2"/>
        <v>17110</v>
      </c>
    </row>
    <row r="185" spans="1:7" ht="15.6">
      <c r="A185" s="6">
        <v>44563</v>
      </c>
      <c r="B185" s="7" t="s">
        <v>19</v>
      </c>
      <c r="C185" s="7" t="s">
        <v>16</v>
      </c>
      <c r="D185" s="7" t="s">
        <v>24</v>
      </c>
      <c r="E185" s="7">
        <v>7999</v>
      </c>
      <c r="F185" s="7">
        <v>31</v>
      </c>
      <c r="G185" s="8">
        <f t="shared" si="2"/>
        <v>247969</v>
      </c>
    </row>
    <row r="186" spans="1:7" ht="15.6">
      <c r="A186" s="3">
        <v>44567</v>
      </c>
      <c r="B186" s="4" t="s">
        <v>10</v>
      </c>
      <c r="C186" s="4" t="s">
        <v>17</v>
      </c>
      <c r="D186" s="4" t="s">
        <v>14</v>
      </c>
      <c r="E186" s="4">
        <v>999</v>
      </c>
      <c r="F186" s="4">
        <v>34</v>
      </c>
      <c r="G186" s="5">
        <f t="shared" si="2"/>
        <v>33966</v>
      </c>
    </row>
    <row r="187" spans="1:7" ht="15.6">
      <c r="A187" s="6">
        <v>44571</v>
      </c>
      <c r="B187" s="7" t="s">
        <v>12</v>
      </c>
      <c r="C187" s="7" t="s">
        <v>22</v>
      </c>
      <c r="D187" s="7" t="s">
        <v>9</v>
      </c>
      <c r="E187" s="7">
        <v>990</v>
      </c>
      <c r="F187" s="7">
        <v>43</v>
      </c>
      <c r="G187" s="8">
        <f t="shared" si="2"/>
        <v>42570</v>
      </c>
    </row>
    <row r="188" spans="1:7" ht="15.6">
      <c r="A188" s="3">
        <v>44575</v>
      </c>
      <c r="B188" s="4" t="s">
        <v>19</v>
      </c>
      <c r="C188" s="4" t="s">
        <v>20</v>
      </c>
      <c r="D188" s="4" t="s">
        <v>9</v>
      </c>
      <c r="E188" s="4">
        <v>11999</v>
      </c>
      <c r="F188" s="4">
        <v>37</v>
      </c>
      <c r="G188" s="5">
        <f t="shared" si="2"/>
        <v>443963</v>
      </c>
    </row>
    <row r="189" spans="1:7" ht="15.6">
      <c r="A189" s="6">
        <v>44579</v>
      </c>
      <c r="B189" s="7" t="s">
        <v>19</v>
      </c>
      <c r="C189" s="7" t="s">
        <v>13</v>
      </c>
      <c r="D189" s="7" t="s">
        <v>9</v>
      </c>
      <c r="E189" s="7">
        <v>960</v>
      </c>
      <c r="F189" s="7">
        <v>7</v>
      </c>
      <c r="G189" s="8">
        <f t="shared" si="2"/>
        <v>6720</v>
      </c>
    </row>
    <row r="190" spans="1:7" ht="15.6">
      <c r="A190" s="3">
        <v>44583</v>
      </c>
      <c r="B190" s="4" t="s">
        <v>7</v>
      </c>
      <c r="C190" s="4" t="s">
        <v>8</v>
      </c>
      <c r="D190" s="4" t="s">
        <v>14</v>
      </c>
      <c r="E190" s="4">
        <v>1450</v>
      </c>
      <c r="F190" s="4">
        <v>19</v>
      </c>
      <c r="G190" s="5">
        <f t="shared" si="2"/>
        <v>27550</v>
      </c>
    </row>
    <row r="191" spans="1:7" ht="15.6">
      <c r="A191" s="6">
        <v>44587</v>
      </c>
      <c r="B191" s="7" t="s">
        <v>23</v>
      </c>
      <c r="C191" s="7" t="s">
        <v>22</v>
      </c>
      <c r="D191" s="7" t="s">
        <v>11</v>
      </c>
      <c r="E191" s="7">
        <v>450</v>
      </c>
      <c r="F191" s="7">
        <v>47</v>
      </c>
      <c r="G191" s="8">
        <f t="shared" si="2"/>
        <v>21150</v>
      </c>
    </row>
    <row r="192" spans="1:7" ht="15.6">
      <c r="A192" s="3">
        <v>44591</v>
      </c>
      <c r="B192" s="4" t="s">
        <v>10</v>
      </c>
      <c r="C192" s="4" t="s">
        <v>22</v>
      </c>
      <c r="D192" s="4" t="s">
        <v>14</v>
      </c>
      <c r="E192" s="4">
        <v>1499</v>
      </c>
      <c r="F192" s="4">
        <v>37</v>
      </c>
      <c r="G192" s="5">
        <f t="shared" si="2"/>
        <v>55463</v>
      </c>
    </row>
    <row r="193" spans="1:7" ht="15.6">
      <c r="A193" s="6">
        <v>44595</v>
      </c>
      <c r="B193" s="7" t="s">
        <v>12</v>
      </c>
      <c r="C193" s="7" t="s">
        <v>20</v>
      </c>
      <c r="D193" s="7" t="s">
        <v>11</v>
      </c>
      <c r="E193" s="7">
        <v>79999</v>
      </c>
      <c r="F193" s="7">
        <v>4</v>
      </c>
      <c r="G193" s="8">
        <f t="shared" si="2"/>
        <v>319996</v>
      </c>
    </row>
    <row r="194" spans="1:7" ht="15.6">
      <c r="A194" s="3">
        <v>44599</v>
      </c>
      <c r="B194" s="4" t="s">
        <v>12</v>
      </c>
      <c r="C194" s="4" t="s">
        <v>17</v>
      </c>
      <c r="D194" s="4" t="s">
        <v>21</v>
      </c>
      <c r="E194" s="4">
        <v>999</v>
      </c>
      <c r="F194" s="4">
        <v>45</v>
      </c>
      <c r="G194" s="5">
        <f t="shared" si="2"/>
        <v>44955</v>
      </c>
    </row>
    <row r="195" spans="1:7" ht="15.6">
      <c r="A195" s="6">
        <v>44603</v>
      </c>
      <c r="B195" s="7" t="s">
        <v>19</v>
      </c>
      <c r="C195" s="7" t="s">
        <v>20</v>
      </c>
      <c r="D195" s="7" t="s">
        <v>9</v>
      </c>
      <c r="E195" s="7">
        <v>52000</v>
      </c>
      <c r="F195" s="7">
        <v>15</v>
      </c>
      <c r="G195" s="8">
        <f t="shared" ref="G195:G258" si="3">E195*F195</f>
        <v>780000</v>
      </c>
    </row>
    <row r="196" spans="1:7" ht="15.6">
      <c r="A196" s="3">
        <v>44607</v>
      </c>
      <c r="B196" s="4" t="s">
        <v>19</v>
      </c>
      <c r="C196" s="4" t="s">
        <v>20</v>
      </c>
      <c r="D196" s="4" t="s">
        <v>18</v>
      </c>
      <c r="E196" s="4">
        <v>52000</v>
      </c>
      <c r="F196" s="4">
        <v>39</v>
      </c>
      <c r="G196" s="5">
        <f t="shared" si="3"/>
        <v>2028000</v>
      </c>
    </row>
    <row r="197" spans="1:7" ht="15.6">
      <c r="A197" s="6">
        <v>44611</v>
      </c>
      <c r="B197" s="7" t="s">
        <v>19</v>
      </c>
      <c r="C197" s="7" t="s">
        <v>13</v>
      </c>
      <c r="D197" s="7" t="s">
        <v>14</v>
      </c>
      <c r="E197" s="7">
        <v>960</v>
      </c>
      <c r="F197" s="7">
        <v>33</v>
      </c>
      <c r="G197" s="8">
        <f t="shared" si="3"/>
        <v>31680</v>
      </c>
    </row>
    <row r="198" spans="1:7" ht="15.6">
      <c r="A198" s="3">
        <v>44615</v>
      </c>
      <c r="B198" s="4" t="s">
        <v>19</v>
      </c>
      <c r="C198" s="4" t="s">
        <v>13</v>
      </c>
      <c r="D198" s="4" t="s">
        <v>14</v>
      </c>
      <c r="E198" s="4">
        <v>1450</v>
      </c>
      <c r="F198" s="4">
        <v>34</v>
      </c>
      <c r="G198" s="5">
        <f t="shared" si="3"/>
        <v>49300</v>
      </c>
    </row>
    <row r="199" spans="1:7" ht="15.6">
      <c r="A199" s="6">
        <v>44619</v>
      </c>
      <c r="B199" s="7" t="s">
        <v>19</v>
      </c>
      <c r="C199" s="7" t="s">
        <v>16</v>
      </c>
      <c r="D199" s="7" t="s">
        <v>18</v>
      </c>
      <c r="E199" s="7">
        <v>2999</v>
      </c>
      <c r="F199" s="7">
        <v>33</v>
      </c>
      <c r="G199" s="8">
        <f t="shared" si="3"/>
        <v>98967</v>
      </c>
    </row>
    <row r="200" spans="1:7" ht="15.6">
      <c r="A200" s="3">
        <v>44623</v>
      </c>
      <c r="B200" s="4" t="s">
        <v>12</v>
      </c>
      <c r="C200" s="4" t="s">
        <v>13</v>
      </c>
      <c r="D200" s="4" t="s">
        <v>21</v>
      </c>
      <c r="E200" s="4">
        <v>1250</v>
      </c>
      <c r="F200" s="4">
        <v>14</v>
      </c>
      <c r="G200" s="5">
        <f t="shared" si="3"/>
        <v>17500</v>
      </c>
    </row>
    <row r="201" spans="1:7" ht="15.6">
      <c r="A201" s="6">
        <v>44627</v>
      </c>
      <c r="B201" s="7" t="s">
        <v>15</v>
      </c>
      <c r="C201" s="7" t="s">
        <v>17</v>
      </c>
      <c r="D201" s="7" t="s">
        <v>9</v>
      </c>
      <c r="E201" s="7">
        <v>120</v>
      </c>
      <c r="F201" s="7">
        <v>41</v>
      </c>
      <c r="G201" s="8">
        <f t="shared" si="3"/>
        <v>4920</v>
      </c>
    </row>
    <row r="202" spans="1:7" ht="15.6">
      <c r="A202" s="3">
        <v>44631</v>
      </c>
      <c r="B202" s="4" t="s">
        <v>10</v>
      </c>
      <c r="C202" s="4" t="s">
        <v>8</v>
      </c>
      <c r="D202" s="4" t="s">
        <v>18</v>
      </c>
      <c r="E202" s="4">
        <v>1450</v>
      </c>
      <c r="F202" s="4">
        <v>22</v>
      </c>
      <c r="G202" s="5">
        <f t="shared" si="3"/>
        <v>31900</v>
      </c>
    </row>
    <row r="203" spans="1:7" ht="15.6">
      <c r="A203" s="6">
        <v>44635</v>
      </c>
      <c r="B203" s="7" t="s">
        <v>10</v>
      </c>
      <c r="C203" s="7" t="s">
        <v>20</v>
      </c>
      <c r="D203" s="7" t="s">
        <v>9</v>
      </c>
      <c r="E203" s="7">
        <v>89999</v>
      </c>
      <c r="F203" s="7">
        <v>15</v>
      </c>
      <c r="G203" s="8">
        <f t="shared" si="3"/>
        <v>1349985</v>
      </c>
    </row>
    <row r="204" spans="1:7" ht="15.6">
      <c r="A204" s="3">
        <v>44639</v>
      </c>
      <c r="B204" s="4" t="s">
        <v>23</v>
      </c>
      <c r="C204" s="4" t="s">
        <v>22</v>
      </c>
      <c r="D204" s="4" t="s">
        <v>14</v>
      </c>
      <c r="E204" s="4">
        <v>1999</v>
      </c>
      <c r="F204" s="4">
        <v>48</v>
      </c>
      <c r="G204" s="5">
        <f t="shared" si="3"/>
        <v>95952</v>
      </c>
    </row>
    <row r="205" spans="1:7" ht="15.6">
      <c r="A205" s="6">
        <v>44643</v>
      </c>
      <c r="B205" s="7" t="s">
        <v>23</v>
      </c>
      <c r="C205" s="7" t="s">
        <v>16</v>
      </c>
      <c r="D205" s="7" t="s">
        <v>18</v>
      </c>
      <c r="E205" s="7">
        <v>2900</v>
      </c>
      <c r="F205" s="7">
        <v>49</v>
      </c>
      <c r="G205" s="8">
        <f t="shared" si="3"/>
        <v>142100</v>
      </c>
    </row>
    <row r="206" spans="1:7" ht="15.6">
      <c r="A206" s="3">
        <v>44647</v>
      </c>
      <c r="B206" s="4" t="s">
        <v>19</v>
      </c>
      <c r="C206" s="4" t="s">
        <v>20</v>
      </c>
      <c r="D206" s="4" t="s">
        <v>21</v>
      </c>
      <c r="E206" s="4">
        <v>700</v>
      </c>
      <c r="F206" s="4">
        <v>50</v>
      </c>
      <c r="G206" s="5">
        <f t="shared" si="3"/>
        <v>35000</v>
      </c>
    </row>
    <row r="207" spans="1:7" ht="15.6">
      <c r="A207" s="6">
        <v>44651</v>
      </c>
      <c r="B207" s="7" t="s">
        <v>15</v>
      </c>
      <c r="C207" s="7" t="s">
        <v>17</v>
      </c>
      <c r="D207" s="7" t="s">
        <v>18</v>
      </c>
      <c r="E207" s="7">
        <v>200</v>
      </c>
      <c r="F207" s="7">
        <v>41</v>
      </c>
      <c r="G207" s="8">
        <f t="shared" si="3"/>
        <v>8200</v>
      </c>
    </row>
    <row r="208" spans="1:7" ht="15.6">
      <c r="A208" s="3">
        <v>44655</v>
      </c>
      <c r="B208" s="4" t="s">
        <v>7</v>
      </c>
      <c r="C208" s="4" t="s">
        <v>8</v>
      </c>
      <c r="D208" s="4" t="s">
        <v>14</v>
      </c>
      <c r="E208" s="4">
        <v>499</v>
      </c>
      <c r="F208" s="4">
        <v>29</v>
      </c>
      <c r="G208" s="5">
        <f t="shared" si="3"/>
        <v>14471</v>
      </c>
    </row>
    <row r="209" spans="1:7" ht="15.6">
      <c r="A209" s="6">
        <v>44659</v>
      </c>
      <c r="B209" s="7" t="s">
        <v>12</v>
      </c>
      <c r="C209" s="7" t="s">
        <v>8</v>
      </c>
      <c r="D209" s="7" t="s">
        <v>24</v>
      </c>
      <c r="E209" s="7">
        <v>5599</v>
      </c>
      <c r="F209" s="7">
        <v>36</v>
      </c>
      <c r="G209" s="8">
        <f t="shared" si="3"/>
        <v>201564</v>
      </c>
    </row>
    <row r="210" spans="1:7" ht="15.6">
      <c r="A210" s="3">
        <v>44663</v>
      </c>
      <c r="B210" s="4" t="s">
        <v>10</v>
      </c>
      <c r="C210" s="4" t="s">
        <v>17</v>
      </c>
      <c r="D210" s="4" t="s">
        <v>18</v>
      </c>
      <c r="E210" s="4">
        <v>100</v>
      </c>
      <c r="F210" s="4">
        <v>39</v>
      </c>
      <c r="G210" s="5">
        <f t="shared" si="3"/>
        <v>3900</v>
      </c>
    </row>
    <row r="211" spans="1:7" ht="15.6">
      <c r="A211" s="6">
        <v>44667</v>
      </c>
      <c r="B211" s="7" t="s">
        <v>19</v>
      </c>
      <c r="C211" s="7" t="s">
        <v>16</v>
      </c>
      <c r="D211" s="7" t="s">
        <v>18</v>
      </c>
      <c r="E211" s="7">
        <v>79999</v>
      </c>
      <c r="F211" s="7">
        <v>9</v>
      </c>
      <c r="G211" s="8">
        <f t="shared" si="3"/>
        <v>719991</v>
      </c>
    </row>
    <row r="212" spans="1:7" ht="15.6">
      <c r="A212" s="3">
        <v>44671</v>
      </c>
      <c r="B212" s="4" t="s">
        <v>12</v>
      </c>
      <c r="C212" s="4" t="s">
        <v>20</v>
      </c>
      <c r="D212" s="4" t="s">
        <v>14</v>
      </c>
      <c r="E212" s="4">
        <v>700</v>
      </c>
      <c r="F212" s="4">
        <v>38</v>
      </c>
      <c r="G212" s="5">
        <f t="shared" si="3"/>
        <v>26600</v>
      </c>
    </row>
    <row r="213" spans="1:7" ht="15.6">
      <c r="A213" s="6">
        <v>44675</v>
      </c>
      <c r="B213" s="7" t="s">
        <v>19</v>
      </c>
      <c r="C213" s="7" t="s">
        <v>13</v>
      </c>
      <c r="D213" s="7" t="s">
        <v>9</v>
      </c>
      <c r="E213" s="7">
        <v>550</v>
      </c>
      <c r="F213" s="7">
        <v>25</v>
      </c>
      <c r="G213" s="8">
        <f t="shared" si="3"/>
        <v>13750</v>
      </c>
    </row>
    <row r="214" spans="1:7" ht="15.6">
      <c r="A214" s="3">
        <v>44679</v>
      </c>
      <c r="B214" s="4" t="s">
        <v>23</v>
      </c>
      <c r="C214" s="4" t="s">
        <v>22</v>
      </c>
      <c r="D214" s="4" t="s">
        <v>18</v>
      </c>
      <c r="E214" s="4">
        <v>1499</v>
      </c>
      <c r="F214" s="4">
        <v>16</v>
      </c>
      <c r="G214" s="5">
        <f t="shared" si="3"/>
        <v>23984</v>
      </c>
    </row>
    <row r="215" spans="1:7" ht="15.6">
      <c r="A215" s="6">
        <v>44683</v>
      </c>
      <c r="B215" s="7" t="s">
        <v>15</v>
      </c>
      <c r="C215" s="7" t="s">
        <v>17</v>
      </c>
      <c r="D215" s="7" t="s">
        <v>21</v>
      </c>
      <c r="E215" s="7">
        <v>120</v>
      </c>
      <c r="F215" s="7">
        <v>22</v>
      </c>
      <c r="G215" s="8">
        <f t="shared" si="3"/>
        <v>2640</v>
      </c>
    </row>
    <row r="216" spans="1:7" ht="15.6">
      <c r="A216" s="3">
        <v>44687</v>
      </c>
      <c r="B216" s="4" t="s">
        <v>7</v>
      </c>
      <c r="C216" s="4" t="s">
        <v>8</v>
      </c>
      <c r="D216" s="4" t="s">
        <v>11</v>
      </c>
      <c r="E216" s="4">
        <v>1450</v>
      </c>
      <c r="F216" s="4">
        <v>20</v>
      </c>
      <c r="G216" s="5">
        <f t="shared" si="3"/>
        <v>29000</v>
      </c>
    </row>
    <row r="217" spans="1:7" ht="15.6">
      <c r="A217" s="6">
        <v>44691</v>
      </c>
      <c r="B217" s="7" t="s">
        <v>23</v>
      </c>
      <c r="C217" s="7" t="s">
        <v>16</v>
      </c>
      <c r="D217" s="7" t="s">
        <v>14</v>
      </c>
      <c r="E217" s="7">
        <v>1999</v>
      </c>
      <c r="F217" s="7">
        <v>23</v>
      </c>
      <c r="G217" s="8">
        <f t="shared" si="3"/>
        <v>45977</v>
      </c>
    </row>
    <row r="218" spans="1:7" ht="15.6">
      <c r="A218" s="3">
        <v>44695</v>
      </c>
      <c r="B218" s="4" t="s">
        <v>7</v>
      </c>
      <c r="C218" s="4" t="s">
        <v>8</v>
      </c>
      <c r="D218" s="4" t="s">
        <v>18</v>
      </c>
      <c r="E218" s="4">
        <v>800</v>
      </c>
      <c r="F218" s="4">
        <v>43</v>
      </c>
      <c r="G218" s="5">
        <f t="shared" si="3"/>
        <v>34400</v>
      </c>
    </row>
    <row r="219" spans="1:7" ht="15.6">
      <c r="A219" s="6">
        <v>44699</v>
      </c>
      <c r="B219" s="7" t="s">
        <v>12</v>
      </c>
      <c r="C219" s="7" t="s">
        <v>17</v>
      </c>
      <c r="D219" s="7" t="s">
        <v>21</v>
      </c>
      <c r="E219" s="7">
        <v>100</v>
      </c>
      <c r="F219" s="7">
        <v>41</v>
      </c>
      <c r="G219" s="8">
        <f t="shared" si="3"/>
        <v>4100</v>
      </c>
    </row>
    <row r="220" spans="1:7" ht="15.6">
      <c r="A220" s="3">
        <v>44703</v>
      </c>
      <c r="B220" s="4" t="s">
        <v>7</v>
      </c>
      <c r="C220" s="4" t="s">
        <v>8</v>
      </c>
      <c r="D220" s="4" t="s">
        <v>14</v>
      </c>
      <c r="E220" s="4">
        <v>13999</v>
      </c>
      <c r="F220" s="4">
        <v>37</v>
      </c>
      <c r="G220" s="5">
        <f t="shared" si="3"/>
        <v>517963</v>
      </c>
    </row>
    <row r="221" spans="1:7" ht="15.6">
      <c r="A221" s="6">
        <v>44707</v>
      </c>
      <c r="B221" s="7" t="s">
        <v>19</v>
      </c>
      <c r="C221" s="7" t="s">
        <v>20</v>
      </c>
      <c r="D221" s="7" t="s">
        <v>18</v>
      </c>
      <c r="E221" s="7">
        <v>22000</v>
      </c>
      <c r="F221" s="7">
        <v>45</v>
      </c>
      <c r="G221" s="8">
        <f t="shared" si="3"/>
        <v>990000</v>
      </c>
    </row>
    <row r="222" spans="1:7" ht="15.6">
      <c r="A222" s="3">
        <v>44711</v>
      </c>
      <c r="B222" s="4" t="s">
        <v>19</v>
      </c>
      <c r="C222" s="4" t="s">
        <v>20</v>
      </c>
      <c r="D222" s="4" t="s">
        <v>24</v>
      </c>
      <c r="E222" s="4">
        <v>89999</v>
      </c>
      <c r="F222" s="4">
        <v>15</v>
      </c>
      <c r="G222" s="5">
        <f t="shared" si="3"/>
        <v>1349985</v>
      </c>
    </row>
    <row r="223" spans="1:7" ht="15.6">
      <c r="A223" s="6">
        <v>44715</v>
      </c>
      <c r="B223" s="7" t="s">
        <v>10</v>
      </c>
      <c r="C223" s="7" t="s">
        <v>16</v>
      </c>
      <c r="D223" s="7" t="s">
        <v>18</v>
      </c>
      <c r="E223" s="7">
        <v>13999</v>
      </c>
      <c r="F223" s="7">
        <v>22</v>
      </c>
      <c r="G223" s="8">
        <f t="shared" si="3"/>
        <v>307978</v>
      </c>
    </row>
    <row r="224" spans="1:7" ht="15.6">
      <c r="A224" s="3">
        <v>44719</v>
      </c>
      <c r="B224" s="4" t="s">
        <v>12</v>
      </c>
      <c r="C224" s="4" t="s">
        <v>22</v>
      </c>
      <c r="D224" s="4" t="s">
        <v>14</v>
      </c>
      <c r="E224" s="4">
        <v>2900</v>
      </c>
      <c r="F224" s="4">
        <v>20</v>
      </c>
      <c r="G224" s="5">
        <f t="shared" si="3"/>
        <v>58000</v>
      </c>
    </row>
    <row r="225" spans="1:7" ht="15.6">
      <c r="A225" s="6">
        <v>44723</v>
      </c>
      <c r="B225" s="7" t="s">
        <v>10</v>
      </c>
      <c r="C225" s="7" t="s">
        <v>20</v>
      </c>
      <c r="D225" s="7" t="s">
        <v>18</v>
      </c>
      <c r="E225" s="7">
        <v>33000</v>
      </c>
      <c r="F225" s="7">
        <v>16</v>
      </c>
      <c r="G225" s="8">
        <f t="shared" si="3"/>
        <v>528000</v>
      </c>
    </row>
    <row r="226" spans="1:7" ht="15.6">
      <c r="A226" s="3">
        <v>44727</v>
      </c>
      <c r="B226" s="4" t="s">
        <v>19</v>
      </c>
      <c r="C226" s="4" t="s">
        <v>16</v>
      </c>
      <c r="D226" s="4" t="s">
        <v>11</v>
      </c>
      <c r="E226" s="4">
        <v>22000</v>
      </c>
      <c r="F226" s="4">
        <v>17</v>
      </c>
      <c r="G226" s="5">
        <f t="shared" si="3"/>
        <v>374000</v>
      </c>
    </row>
    <row r="227" spans="1:7" ht="15.6">
      <c r="A227" s="6">
        <v>44731</v>
      </c>
      <c r="B227" s="7" t="s">
        <v>23</v>
      </c>
      <c r="C227" s="7" t="s">
        <v>22</v>
      </c>
      <c r="D227" s="7" t="s">
        <v>11</v>
      </c>
      <c r="E227" s="7">
        <v>699</v>
      </c>
      <c r="F227" s="7">
        <v>50</v>
      </c>
      <c r="G227" s="8">
        <f t="shared" si="3"/>
        <v>34950</v>
      </c>
    </row>
    <row r="228" spans="1:7" ht="15.6">
      <c r="A228" s="3">
        <v>44735</v>
      </c>
      <c r="B228" s="4" t="s">
        <v>12</v>
      </c>
      <c r="C228" s="4" t="s">
        <v>20</v>
      </c>
      <c r="D228" s="4" t="s">
        <v>14</v>
      </c>
      <c r="E228" s="4">
        <v>499</v>
      </c>
      <c r="F228" s="4">
        <v>4</v>
      </c>
      <c r="G228" s="5">
        <f t="shared" si="3"/>
        <v>1996</v>
      </c>
    </row>
    <row r="229" spans="1:7" ht="15.6">
      <c r="A229" s="6">
        <v>44739</v>
      </c>
      <c r="B229" s="7" t="s">
        <v>23</v>
      </c>
      <c r="C229" s="7" t="s">
        <v>22</v>
      </c>
      <c r="D229" s="7" t="s">
        <v>18</v>
      </c>
      <c r="E229" s="7">
        <v>590</v>
      </c>
      <c r="F229" s="7">
        <v>43</v>
      </c>
      <c r="G229" s="8">
        <f t="shared" si="3"/>
        <v>25370</v>
      </c>
    </row>
    <row r="230" spans="1:7" ht="15.6">
      <c r="A230" s="3">
        <v>44743</v>
      </c>
      <c r="B230" s="4" t="s">
        <v>23</v>
      </c>
      <c r="C230" s="4" t="s">
        <v>22</v>
      </c>
      <c r="D230" s="4" t="s">
        <v>11</v>
      </c>
      <c r="E230" s="4">
        <v>590</v>
      </c>
      <c r="F230" s="4">
        <v>42</v>
      </c>
      <c r="G230" s="5">
        <f t="shared" si="3"/>
        <v>24780</v>
      </c>
    </row>
    <row r="231" spans="1:7" ht="15.6">
      <c r="A231" s="6">
        <v>44747</v>
      </c>
      <c r="B231" s="7" t="s">
        <v>15</v>
      </c>
      <c r="C231" s="7" t="s">
        <v>17</v>
      </c>
      <c r="D231" s="7" t="s">
        <v>9</v>
      </c>
      <c r="E231" s="7">
        <v>120</v>
      </c>
      <c r="F231" s="7">
        <v>9</v>
      </c>
      <c r="G231" s="8">
        <f t="shared" si="3"/>
        <v>1080</v>
      </c>
    </row>
    <row r="232" spans="1:7" ht="15.6">
      <c r="A232" s="3">
        <v>44751</v>
      </c>
      <c r="B232" s="4" t="s">
        <v>12</v>
      </c>
      <c r="C232" s="4" t="s">
        <v>20</v>
      </c>
      <c r="D232" s="4" t="s">
        <v>24</v>
      </c>
      <c r="E232" s="4">
        <v>52000</v>
      </c>
      <c r="F232" s="4">
        <v>40</v>
      </c>
      <c r="G232" s="5">
        <f t="shared" si="3"/>
        <v>2080000</v>
      </c>
    </row>
    <row r="233" spans="1:7" ht="15.6">
      <c r="A233" s="6">
        <v>44755</v>
      </c>
      <c r="B233" s="7" t="s">
        <v>19</v>
      </c>
      <c r="C233" s="7" t="s">
        <v>16</v>
      </c>
      <c r="D233" s="7" t="s">
        <v>18</v>
      </c>
      <c r="E233" s="7">
        <v>7999</v>
      </c>
      <c r="F233" s="7">
        <v>14</v>
      </c>
      <c r="G233" s="8">
        <f t="shared" si="3"/>
        <v>111986</v>
      </c>
    </row>
    <row r="234" spans="1:7" ht="15.6">
      <c r="A234" s="3">
        <v>44759</v>
      </c>
      <c r="B234" s="4" t="s">
        <v>12</v>
      </c>
      <c r="C234" s="4" t="s">
        <v>13</v>
      </c>
      <c r="D234" s="4" t="s">
        <v>21</v>
      </c>
      <c r="E234" s="4">
        <v>550</v>
      </c>
      <c r="F234" s="4">
        <v>9</v>
      </c>
      <c r="G234" s="5">
        <f t="shared" si="3"/>
        <v>4950</v>
      </c>
    </row>
    <row r="235" spans="1:7" ht="15.6">
      <c r="A235" s="6">
        <v>44763</v>
      </c>
      <c r="B235" s="7" t="s">
        <v>19</v>
      </c>
      <c r="C235" s="7" t="s">
        <v>20</v>
      </c>
      <c r="D235" s="7" t="s">
        <v>18</v>
      </c>
      <c r="E235" s="7">
        <v>79999</v>
      </c>
      <c r="F235" s="7">
        <v>10</v>
      </c>
      <c r="G235" s="8">
        <f t="shared" si="3"/>
        <v>799990</v>
      </c>
    </row>
    <row r="236" spans="1:7" ht="15.6">
      <c r="A236" s="3">
        <v>44767</v>
      </c>
      <c r="B236" s="4" t="s">
        <v>10</v>
      </c>
      <c r="C236" s="4" t="s">
        <v>16</v>
      </c>
      <c r="D236" s="4" t="s">
        <v>11</v>
      </c>
      <c r="E236" s="4">
        <v>1999</v>
      </c>
      <c r="F236" s="4">
        <v>37</v>
      </c>
      <c r="G236" s="5">
        <f t="shared" si="3"/>
        <v>73963</v>
      </c>
    </row>
    <row r="237" spans="1:7" ht="15.6">
      <c r="A237" s="6">
        <v>44771</v>
      </c>
      <c r="B237" s="7" t="s">
        <v>12</v>
      </c>
      <c r="C237" s="7" t="s">
        <v>20</v>
      </c>
      <c r="D237" s="7" t="s">
        <v>18</v>
      </c>
      <c r="E237" s="7">
        <v>89999</v>
      </c>
      <c r="F237" s="7">
        <v>29</v>
      </c>
      <c r="G237" s="8">
        <f t="shared" si="3"/>
        <v>2609971</v>
      </c>
    </row>
    <row r="238" spans="1:7" ht="15.6">
      <c r="A238" s="3">
        <v>44775</v>
      </c>
      <c r="B238" s="4" t="s">
        <v>19</v>
      </c>
      <c r="C238" s="4" t="s">
        <v>20</v>
      </c>
      <c r="D238" s="4" t="s">
        <v>9</v>
      </c>
      <c r="E238" s="4">
        <v>799</v>
      </c>
      <c r="F238" s="4">
        <v>44</v>
      </c>
      <c r="G238" s="5">
        <f t="shared" si="3"/>
        <v>35156</v>
      </c>
    </row>
    <row r="239" spans="1:7" ht="15.6">
      <c r="A239" s="6">
        <v>44779</v>
      </c>
      <c r="B239" s="7" t="s">
        <v>19</v>
      </c>
      <c r="C239" s="7" t="s">
        <v>20</v>
      </c>
      <c r="D239" s="7" t="s">
        <v>24</v>
      </c>
      <c r="E239" s="7">
        <v>3990</v>
      </c>
      <c r="F239" s="7">
        <v>31</v>
      </c>
      <c r="G239" s="8">
        <f t="shared" si="3"/>
        <v>123690</v>
      </c>
    </row>
    <row r="240" spans="1:7" ht="15.6">
      <c r="A240" s="3">
        <v>44783</v>
      </c>
      <c r="B240" s="4" t="s">
        <v>12</v>
      </c>
      <c r="C240" s="4" t="s">
        <v>16</v>
      </c>
      <c r="D240" s="4" t="s">
        <v>14</v>
      </c>
      <c r="E240" s="4">
        <v>52000</v>
      </c>
      <c r="F240" s="4">
        <v>29</v>
      </c>
      <c r="G240" s="5">
        <f t="shared" si="3"/>
        <v>1508000</v>
      </c>
    </row>
    <row r="241" spans="1:7" ht="15.6">
      <c r="A241" s="6">
        <v>44787</v>
      </c>
      <c r="B241" s="7" t="s">
        <v>7</v>
      </c>
      <c r="C241" s="7" t="s">
        <v>8</v>
      </c>
      <c r="D241" s="7" t="s">
        <v>18</v>
      </c>
      <c r="E241" s="7">
        <v>13999</v>
      </c>
      <c r="F241" s="7">
        <v>34</v>
      </c>
      <c r="G241" s="8">
        <f t="shared" si="3"/>
        <v>475966</v>
      </c>
    </row>
    <row r="242" spans="1:7" ht="15.6">
      <c r="A242" s="3">
        <v>44791</v>
      </c>
      <c r="B242" s="4" t="s">
        <v>12</v>
      </c>
      <c r="C242" s="4" t="s">
        <v>17</v>
      </c>
      <c r="D242" s="4" t="s">
        <v>14</v>
      </c>
      <c r="E242" s="4">
        <v>120</v>
      </c>
      <c r="F242" s="4">
        <v>29</v>
      </c>
      <c r="G242" s="5">
        <f t="shared" si="3"/>
        <v>3480</v>
      </c>
    </row>
    <row r="243" spans="1:7" ht="15.6">
      <c r="A243" s="6">
        <v>44795</v>
      </c>
      <c r="B243" s="7" t="s">
        <v>19</v>
      </c>
      <c r="C243" s="7" t="s">
        <v>13</v>
      </c>
      <c r="D243" s="7" t="s">
        <v>9</v>
      </c>
      <c r="E243" s="7">
        <v>23999</v>
      </c>
      <c r="F243" s="7">
        <v>25</v>
      </c>
      <c r="G243" s="8">
        <f t="shared" si="3"/>
        <v>599975</v>
      </c>
    </row>
    <row r="244" spans="1:7" ht="15.6">
      <c r="A244" s="3">
        <v>44799</v>
      </c>
      <c r="B244" s="4" t="s">
        <v>12</v>
      </c>
      <c r="C244" s="4" t="s">
        <v>13</v>
      </c>
      <c r="D244" s="4" t="s">
        <v>18</v>
      </c>
      <c r="E244" s="4">
        <v>1250</v>
      </c>
      <c r="F244" s="4">
        <v>31</v>
      </c>
      <c r="G244" s="5">
        <f t="shared" si="3"/>
        <v>38750</v>
      </c>
    </row>
    <row r="245" spans="1:7" ht="15.6">
      <c r="A245" s="6">
        <v>44803</v>
      </c>
      <c r="B245" s="7" t="s">
        <v>23</v>
      </c>
      <c r="C245" s="7" t="s">
        <v>16</v>
      </c>
      <c r="D245" s="7" t="s">
        <v>18</v>
      </c>
      <c r="E245" s="7">
        <v>45000</v>
      </c>
      <c r="F245" s="7">
        <v>16</v>
      </c>
      <c r="G245" s="8">
        <f t="shared" si="3"/>
        <v>720000</v>
      </c>
    </row>
    <row r="246" spans="1:7" ht="15.6">
      <c r="A246" s="3">
        <v>44807</v>
      </c>
      <c r="B246" s="4" t="s">
        <v>10</v>
      </c>
      <c r="C246" s="4" t="s">
        <v>17</v>
      </c>
      <c r="D246" s="4" t="s">
        <v>14</v>
      </c>
      <c r="E246" s="4">
        <v>120</v>
      </c>
      <c r="F246" s="4">
        <v>48</v>
      </c>
      <c r="G246" s="5">
        <f t="shared" si="3"/>
        <v>5760</v>
      </c>
    </row>
    <row r="247" spans="1:7" ht="15.6">
      <c r="A247" s="6">
        <v>44811</v>
      </c>
      <c r="B247" s="7" t="s">
        <v>12</v>
      </c>
      <c r="C247" s="7" t="s">
        <v>16</v>
      </c>
      <c r="D247" s="7" t="s">
        <v>21</v>
      </c>
      <c r="E247" s="7">
        <v>25600</v>
      </c>
      <c r="F247" s="7">
        <v>22</v>
      </c>
      <c r="G247" s="8">
        <f t="shared" si="3"/>
        <v>563200</v>
      </c>
    </row>
    <row r="248" spans="1:7" ht="15.6">
      <c r="A248" s="3">
        <v>44815</v>
      </c>
      <c r="B248" s="4" t="s">
        <v>23</v>
      </c>
      <c r="C248" s="4" t="s">
        <v>22</v>
      </c>
      <c r="D248" s="4" t="s">
        <v>18</v>
      </c>
      <c r="E248" s="4">
        <v>699</v>
      </c>
      <c r="F248" s="4">
        <v>6</v>
      </c>
      <c r="G248" s="5">
        <f t="shared" si="3"/>
        <v>4194</v>
      </c>
    </row>
    <row r="249" spans="1:7" ht="15.6">
      <c r="A249" s="6">
        <v>44819</v>
      </c>
      <c r="B249" s="7" t="s">
        <v>23</v>
      </c>
      <c r="C249" s="7" t="s">
        <v>16</v>
      </c>
      <c r="D249" s="7" t="s">
        <v>14</v>
      </c>
      <c r="E249" s="7">
        <v>99620</v>
      </c>
      <c r="F249" s="7">
        <v>12</v>
      </c>
      <c r="G249" s="8">
        <f t="shared" si="3"/>
        <v>1195440</v>
      </c>
    </row>
    <row r="250" spans="1:7" ht="15.6">
      <c r="A250" s="3">
        <v>44823</v>
      </c>
      <c r="B250" s="4" t="s">
        <v>12</v>
      </c>
      <c r="C250" s="4" t="s">
        <v>22</v>
      </c>
      <c r="D250" s="4" t="s">
        <v>24</v>
      </c>
      <c r="E250" s="4">
        <v>450</v>
      </c>
      <c r="F250" s="4">
        <v>44</v>
      </c>
      <c r="G250" s="5">
        <f t="shared" si="3"/>
        <v>19800</v>
      </c>
    </row>
    <row r="251" spans="1:7" ht="15.6">
      <c r="A251" s="6">
        <v>44827</v>
      </c>
      <c r="B251" s="7" t="s">
        <v>23</v>
      </c>
      <c r="C251" s="7" t="s">
        <v>22</v>
      </c>
      <c r="D251" s="7" t="s">
        <v>14</v>
      </c>
      <c r="E251" s="7">
        <v>1499</v>
      </c>
      <c r="F251" s="7">
        <v>15</v>
      </c>
      <c r="G251" s="8">
        <f t="shared" si="3"/>
        <v>22485</v>
      </c>
    </row>
    <row r="252" spans="1:7" ht="15.6">
      <c r="A252" s="3">
        <v>44831</v>
      </c>
      <c r="B252" s="4" t="s">
        <v>7</v>
      </c>
      <c r="C252" s="4" t="s">
        <v>16</v>
      </c>
      <c r="D252" s="4" t="s">
        <v>21</v>
      </c>
      <c r="E252" s="4">
        <v>49500</v>
      </c>
      <c r="F252" s="4">
        <v>26</v>
      </c>
      <c r="G252" s="5">
        <f t="shared" si="3"/>
        <v>1287000</v>
      </c>
    </row>
    <row r="253" spans="1:7" ht="15.6">
      <c r="A253" s="6">
        <v>44835</v>
      </c>
      <c r="B253" s="7" t="s">
        <v>10</v>
      </c>
      <c r="C253" s="7" t="s">
        <v>13</v>
      </c>
      <c r="D253" s="7" t="s">
        <v>21</v>
      </c>
      <c r="E253" s="7">
        <v>960</v>
      </c>
      <c r="F253" s="7">
        <v>16</v>
      </c>
      <c r="G253" s="8">
        <f t="shared" si="3"/>
        <v>15360</v>
      </c>
    </row>
    <row r="254" spans="1:7" ht="15.6">
      <c r="A254" s="3">
        <v>44839</v>
      </c>
      <c r="B254" s="4" t="s">
        <v>12</v>
      </c>
      <c r="C254" s="4" t="s">
        <v>8</v>
      </c>
      <c r="D254" s="4" t="s">
        <v>18</v>
      </c>
      <c r="E254" s="4">
        <v>5599</v>
      </c>
      <c r="F254" s="4">
        <v>35</v>
      </c>
      <c r="G254" s="5">
        <f t="shared" si="3"/>
        <v>195965</v>
      </c>
    </row>
    <row r="255" spans="1:7" ht="15.6">
      <c r="A255" s="6">
        <v>44843</v>
      </c>
      <c r="B255" s="7" t="s">
        <v>15</v>
      </c>
      <c r="C255" s="7" t="s">
        <v>17</v>
      </c>
      <c r="D255" s="7" t="s">
        <v>9</v>
      </c>
      <c r="E255" s="7">
        <v>89</v>
      </c>
      <c r="F255" s="7">
        <v>36</v>
      </c>
      <c r="G255" s="8">
        <f t="shared" si="3"/>
        <v>3204</v>
      </c>
    </row>
    <row r="256" spans="1:7" ht="15.6">
      <c r="A256" s="3">
        <v>44847</v>
      </c>
      <c r="B256" s="4" t="s">
        <v>7</v>
      </c>
      <c r="C256" s="4" t="s">
        <v>8</v>
      </c>
      <c r="D256" s="4" t="s">
        <v>24</v>
      </c>
      <c r="E256" s="4">
        <v>2550</v>
      </c>
      <c r="F256" s="4">
        <v>20</v>
      </c>
      <c r="G256" s="5">
        <f t="shared" si="3"/>
        <v>51000</v>
      </c>
    </row>
    <row r="257" spans="1:7" ht="15.6">
      <c r="A257" s="6">
        <v>44851</v>
      </c>
      <c r="B257" s="7" t="s">
        <v>12</v>
      </c>
      <c r="C257" s="7" t="s">
        <v>16</v>
      </c>
      <c r="D257" s="7" t="s">
        <v>9</v>
      </c>
      <c r="E257" s="7">
        <v>14500</v>
      </c>
      <c r="F257" s="7">
        <v>47</v>
      </c>
      <c r="G257" s="8">
        <f t="shared" si="3"/>
        <v>681500</v>
      </c>
    </row>
    <row r="258" spans="1:7" ht="15.6">
      <c r="A258" s="3">
        <v>44855</v>
      </c>
      <c r="B258" s="4" t="s">
        <v>23</v>
      </c>
      <c r="C258" s="4" t="s">
        <v>22</v>
      </c>
      <c r="D258" s="4" t="s">
        <v>18</v>
      </c>
      <c r="E258" s="4">
        <v>2900</v>
      </c>
      <c r="F258" s="4">
        <v>6</v>
      </c>
      <c r="G258" s="5">
        <f t="shared" si="3"/>
        <v>17400</v>
      </c>
    </row>
    <row r="259" spans="1:7" ht="15.6">
      <c r="A259" s="6">
        <v>44859</v>
      </c>
      <c r="B259" s="7" t="s">
        <v>15</v>
      </c>
      <c r="C259" s="7" t="s">
        <v>17</v>
      </c>
      <c r="D259" s="7" t="s">
        <v>21</v>
      </c>
      <c r="E259" s="7">
        <v>120</v>
      </c>
      <c r="F259" s="7">
        <v>6</v>
      </c>
      <c r="G259" s="8">
        <f t="shared" ref="G259:G279" si="4">E259*F259</f>
        <v>720</v>
      </c>
    </row>
    <row r="260" spans="1:7" ht="15.6">
      <c r="A260" s="3">
        <v>44863</v>
      </c>
      <c r="B260" s="4" t="s">
        <v>19</v>
      </c>
      <c r="C260" s="4" t="s">
        <v>16</v>
      </c>
      <c r="D260" s="4" t="s">
        <v>14</v>
      </c>
      <c r="E260" s="4">
        <v>52000</v>
      </c>
      <c r="F260" s="4">
        <v>41</v>
      </c>
      <c r="G260" s="5">
        <f t="shared" si="4"/>
        <v>2132000</v>
      </c>
    </row>
    <row r="261" spans="1:7" ht="15.6">
      <c r="A261" s="6">
        <v>44867</v>
      </c>
      <c r="B261" s="7" t="s">
        <v>10</v>
      </c>
      <c r="C261" s="7" t="s">
        <v>22</v>
      </c>
      <c r="D261" s="7" t="s">
        <v>11</v>
      </c>
      <c r="E261" s="7">
        <v>590</v>
      </c>
      <c r="F261" s="7">
        <v>29</v>
      </c>
      <c r="G261" s="8">
        <f t="shared" si="4"/>
        <v>17110</v>
      </c>
    </row>
    <row r="262" spans="1:7" ht="15.6">
      <c r="A262" s="3">
        <v>44871</v>
      </c>
      <c r="B262" s="4" t="s">
        <v>19</v>
      </c>
      <c r="C262" s="4" t="s">
        <v>13</v>
      </c>
      <c r="D262" s="4" t="s">
        <v>21</v>
      </c>
      <c r="E262" s="4">
        <v>7999</v>
      </c>
      <c r="F262" s="4">
        <v>31</v>
      </c>
      <c r="G262" s="5">
        <f t="shared" si="4"/>
        <v>247969</v>
      </c>
    </row>
    <row r="263" spans="1:7" ht="15.6">
      <c r="A263" s="6">
        <v>44875</v>
      </c>
      <c r="B263" s="7" t="s">
        <v>12</v>
      </c>
      <c r="C263" s="7" t="s">
        <v>17</v>
      </c>
      <c r="D263" s="7" t="s">
        <v>11</v>
      </c>
      <c r="E263" s="7">
        <v>999</v>
      </c>
      <c r="F263" s="7">
        <v>34</v>
      </c>
      <c r="G263" s="8">
        <f t="shared" si="4"/>
        <v>33966</v>
      </c>
    </row>
    <row r="264" spans="1:7" ht="15.6">
      <c r="A264" s="3">
        <v>44879</v>
      </c>
      <c r="B264" s="4" t="s">
        <v>23</v>
      </c>
      <c r="C264" s="4" t="s">
        <v>16</v>
      </c>
      <c r="D264" s="4" t="s">
        <v>14</v>
      </c>
      <c r="E264" s="4">
        <v>990</v>
      </c>
      <c r="F264" s="4">
        <v>43</v>
      </c>
      <c r="G264" s="5">
        <f t="shared" si="4"/>
        <v>42570</v>
      </c>
    </row>
    <row r="265" spans="1:7" ht="15.6">
      <c r="A265" s="6">
        <v>44883</v>
      </c>
      <c r="B265" s="7" t="s">
        <v>12</v>
      </c>
      <c r="C265" s="7" t="s">
        <v>20</v>
      </c>
      <c r="D265" s="7" t="s">
        <v>9</v>
      </c>
      <c r="E265" s="7">
        <v>11999</v>
      </c>
      <c r="F265" s="7">
        <v>37</v>
      </c>
      <c r="G265" s="8">
        <f t="shared" si="4"/>
        <v>443963</v>
      </c>
    </row>
    <row r="266" spans="1:7" ht="15.6">
      <c r="A266" s="3">
        <v>44887</v>
      </c>
      <c r="B266" s="4" t="s">
        <v>10</v>
      </c>
      <c r="C266" s="4" t="s">
        <v>13</v>
      </c>
      <c r="D266" s="4" t="s">
        <v>9</v>
      </c>
      <c r="E266" s="4">
        <v>960</v>
      </c>
      <c r="F266" s="4">
        <v>7</v>
      </c>
      <c r="G266" s="5">
        <f t="shared" si="4"/>
        <v>6720</v>
      </c>
    </row>
    <row r="267" spans="1:7" ht="15.6">
      <c r="A267" s="6">
        <v>44891</v>
      </c>
      <c r="B267" s="7" t="s">
        <v>7</v>
      </c>
      <c r="C267" s="7" t="s">
        <v>8</v>
      </c>
      <c r="D267" s="7" t="s">
        <v>14</v>
      </c>
      <c r="E267" s="7">
        <v>1450</v>
      </c>
      <c r="F267" s="7">
        <v>19</v>
      </c>
      <c r="G267" s="8">
        <f t="shared" si="4"/>
        <v>27550</v>
      </c>
    </row>
    <row r="268" spans="1:7" ht="15.6">
      <c r="A268" s="3">
        <v>44895</v>
      </c>
      <c r="B268" s="4" t="s">
        <v>23</v>
      </c>
      <c r="C268" s="4" t="s">
        <v>22</v>
      </c>
      <c r="D268" s="4" t="s">
        <v>11</v>
      </c>
      <c r="E268" s="4">
        <v>450</v>
      </c>
      <c r="F268" s="4">
        <v>47</v>
      </c>
      <c r="G268" s="5">
        <f t="shared" si="4"/>
        <v>21150</v>
      </c>
    </row>
    <row r="269" spans="1:7" ht="15.6">
      <c r="A269" s="6">
        <v>44899</v>
      </c>
      <c r="B269" s="7" t="s">
        <v>12</v>
      </c>
      <c r="C269" s="7" t="s">
        <v>16</v>
      </c>
      <c r="D269" s="7" t="s">
        <v>11</v>
      </c>
      <c r="E269" s="7">
        <v>1499</v>
      </c>
      <c r="F269" s="7">
        <v>37</v>
      </c>
      <c r="G269" s="8">
        <f t="shared" si="4"/>
        <v>55463</v>
      </c>
    </row>
    <row r="270" spans="1:7" ht="15.6">
      <c r="A270" s="3">
        <v>44903</v>
      </c>
      <c r="B270" s="4" t="s">
        <v>19</v>
      </c>
      <c r="C270" s="4" t="s">
        <v>20</v>
      </c>
      <c r="D270" s="4" t="s">
        <v>11</v>
      </c>
      <c r="E270" s="4">
        <v>79999</v>
      </c>
      <c r="F270" s="4">
        <v>4</v>
      </c>
      <c r="G270" s="5">
        <f t="shared" si="4"/>
        <v>319996</v>
      </c>
    </row>
    <row r="271" spans="1:7" ht="15.6">
      <c r="A271" s="6">
        <v>44907</v>
      </c>
      <c r="B271" s="7" t="s">
        <v>12</v>
      </c>
      <c r="C271" s="7" t="s">
        <v>17</v>
      </c>
      <c r="D271" s="7" t="s">
        <v>21</v>
      </c>
      <c r="E271" s="7">
        <v>999</v>
      </c>
      <c r="F271" s="7">
        <v>45</v>
      </c>
      <c r="G271" s="8">
        <f t="shared" si="4"/>
        <v>44955</v>
      </c>
    </row>
    <row r="272" spans="1:7" ht="15.6">
      <c r="A272" s="3">
        <v>44911</v>
      </c>
      <c r="B272" s="4" t="s">
        <v>19</v>
      </c>
      <c r="C272" s="4" t="s">
        <v>20</v>
      </c>
      <c r="D272" s="4" t="s">
        <v>9</v>
      </c>
      <c r="E272" s="4">
        <v>52000</v>
      </c>
      <c r="F272" s="4">
        <v>15</v>
      </c>
      <c r="G272" s="5">
        <f t="shared" si="4"/>
        <v>780000</v>
      </c>
    </row>
    <row r="273" spans="1:7" ht="15.6">
      <c r="A273" s="6">
        <v>44915</v>
      </c>
      <c r="B273" s="7" t="s">
        <v>10</v>
      </c>
      <c r="C273" s="7" t="s">
        <v>20</v>
      </c>
      <c r="D273" s="7" t="s">
        <v>18</v>
      </c>
      <c r="E273" s="7">
        <v>52000</v>
      </c>
      <c r="F273" s="7">
        <v>39</v>
      </c>
      <c r="G273" s="8">
        <f t="shared" si="4"/>
        <v>2028000</v>
      </c>
    </row>
    <row r="274" spans="1:7" ht="15.6">
      <c r="A274" s="3">
        <v>44919</v>
      </c>
      <c r="B274" s="4" t="s">
        <v>12</v>
      </c>
      <c r="C274" s="4" t="s">
        <v>13</v>
      </c>
      <c r="D274" s="4" t="s">
        <v>18</v>
      </c>
      <c r="E274" s="4">
        <v>960</v>
      </c>
      <c r="F274" s="4">
        <v>33</v>
      </c>
      <c r="G274" s="5">
        <f t="shared" si="4"/>
        <v>31680</v>
      </c>
    </row>
    <row r="275" spans="1:7" ht="15.6">
      <c r="A275" s="9">
        <v>44923</v>
      </c>
      <c r="B275" s="10" t="s">
        <v>19</v>
      </c>
      <c r="C275" s="10" t="s">
        <v>13</v>
      </c>
      <c r="D275" s="10" t="s">
        <v>14</v>
      </c>
      <c r="E275" s="10">
        <v>1450</v>
      </c>
      <c r="F275" s="10">
        <v>34</v>
      </c>
      <c r="G275" s="11">
        <f t="shared" si="4"/>
        <v>49300</v>
      </c>
    </row>
    <row r="276" spans="1:7" ht="15.6">
      <c r="A276" s="3">
        <v>44913</v>
      </c>
      <c r="B276" s="4" t="s">
        <v>23</v>
      </c>
      <c r="C276" s="4" t="s">
        <v>22</v>
      </c>
      <c r="D276" s="4" t="s">
        <v>24</v>
      </c>
      <c r="E276" s="4">
        <v>2500</v>
      </c>
      <c r="F276" s="4">
        <v>100</v>
      </c>
      <c r="G276" s="5">
        <f t="shared" si="4"/>
        <v>250000</v>
      </c>
    </row>
    <row r="277" spans="1:7" ht="15.6">
      <c r="A277" s="6">
        <v>44917</v>
      </c>
      <c r="B277" s="7" t="s">
        <v>10</v>
      </c>
      <c r="C277" s="7" t="s">
        <v>16</v>
      </c>
      <c r="D277" s="7" t="s">
        <v>24</v>
      </c>
      <c r="E277" s="7">
        <v>86540</v>
      </c>
      <c r="F277" s="7">
        <v>6</v>
      </c>
      <c r="G277" s="8">
        <f t="shared" si="4"/>
        <v>519240</v>
      </c>
    </row>
    <row r="278" spans="1:7" ht="15.6">
      <c r="A278" s="3">
        <v>44922</v>
      </c>
      <c r="B278" s="4" t="s">
        <v>15</v>
      </c>
      <c r="C278" s="4" t="s">
        <v>17</v>
      </c>
      <c r="D278" s="4" t="s">
        <v>24</v>
      </c>
      <c r="E278" s="4">
        <v>550</v>
      </c>
      <c r="F278" s="4">
        <v>44</v>
      </c>
      <c r="G278" s="5">
        <f t="shared" si="4"/>
        <v>24200</v>
      </c>
    </row>
    <row r="279" spans="1:7" ht="15.6">
      <c r="A279" s="6">
        <v>44925</v>
      </c>
      <c r="B279" s="7" t="s">
        <v>12</v>
      </c>
      <c r="C279" s="7" t="s">
        <v>20</v>
      </c>
      <c r="D279" s="7" t="s">
        <v>24</v>
      </c>
      <c r="E279" s="7">
        <v>65400</v>
      </c>
      <c r="F279" s="7">
        <v>19</v>
      </c>
      <c r="G279" s="8">
        <f t="shared" si="4"/>
        <v>1242600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10B9E-C064-4E7C-8784-40EB938BD7AB}">
  <dimension ref="A1:K165"/>
  <sheetViews>
    <sheetView zoomScale="78" zoomScaleNormal="78" workbookViewId="0">
      <selection activeCell="Q3" sqref="Q3"/>
    </sheetView>
  </sheetViews>
  <sheetFormatPr defaultRowHeight="13.8"/>
  <cols>
    <col min="1" max="2" width="13.59765625" bestFit="1" customWidth="1"/>
  </cols>
  <sheetData>
    <row r="1" spans="1:11">
      <c r="A1" s="12" t="s">
        <v>25</v>
      </c>
      <c r="B1" t="s">
        <v>29</v>
      </c>
    </row>
    <row r="2" spans="1:11">
      <c r="A2" s="13" t="s">
        <v>27</v>
      </c>
      <c r="B2" s="14">
        <v>9022917</v>
      </c>
      <c r="J2" s="12" t="s">
        <v>25</v>
      </c>
      <c r="K2" t="s">
        <v>30</v>
      </c>
    </row>
    <row r="3" spans="1:11">
      <c r="A3" s="13" t="s">
        <v>28</v>
      </c>
      <c r="B3" s="14">
        <v>238469</v>
      </c>
      <c r="J3" s="13" t="s">
        <v>16</v>
      </c>
      <c r="K3">
        <v>89</v>
      </c>
    </row>
    <row r="4" spans="1:11">
      <c r="A4" s="13" t="s">
        <v>26</v>
      </c>
      <c r="B4" s="14">
        <v>9261386</v>
      </c>
      <c r="J4" s="13" t="s">
        <v>8</v>
      </c>
      <c r="K4">
        <v>172</v>
      </c>
    </row>
    <row r="5" spans="1:11">
      <c r="J5" s="13" t="s">
        <v>20</v>
      </c>
      <c r="K5">
        <v>26</v>
      </c>
    </row>
    <row r="6" spans="1:11">
      <c r="J6" s="13" t="s">
        <v>13</v>
      </c>
      <c r="K6">
        <v>44</v>
      </c>
    </row>
    <row r="7" spans="1:11">
      <c r="A7" t="s">
        <v>29</v>
      </c>
      <c r="J7" s="13" t="s">
        <v>17</v>
      </c>
      <c r="K7">
        <v>11</v>
      </c>
    </row>
    <row r="8" spans="1:11">
      <c r="A8" s="14">
        <v>9261386</v>
      </c>
      <c r="J8" s="13" t="s">
        <v>22</v>
      </c>
      <c r="K8">
        <v>9</v>
      </c>
    </row>
    <row r="9" spans="1:11">
      <c r="J9" s="13" t="s">
        <v>26</v>
      </c>
      <c r="K9">
        <v>351</v>
      </c>
    </row>
    <row r="12" spans="1:11">
      <c r="J12" s="12" t="s">
        <v>25</v>
      </c>
      <c r="K12" t="s">
        <v>29</v>
      </c>
    </row>
    <row r="13" spans="1:11">
      <c r="J13" s="13" t="s">
        <v>14</v>
      </c>
      <c r="K13" s="14">
        <v>921800</v>
      </c>
    </row>
    <row r="14" spans="1:11">
      <c r="J14" s="13" t="s">
        <v>21</v>
      </c>
      <c r="K14" s="14">
        <v>3354000</v>
      </c>
    </row>
    <row r="15" spans="1:11">
      <c r="J15" s="13" t="s">
        <v>9</v>
      </c>
      <c r="K15" s="14">
        <v>4504509</v>
      </c>
    </row>
    <row r="16" spans="1:11">
      <c r="J16" s="13" t="s">
        <v>18</v>
      </c>
      <c r="K16" s="14">
        <v>296310</v>
      </c>
    </row>
    <row r="17" spans="10:11">
      <c r="J17" s="13" t="s">
        <v>11</v>
      </c>
      <c r="K17" s="14">
        <v>184767</v>
      </c>
    </row>
    <row r="18" spans="10:11">
      <c r="J18" s="13" t="s">
        <v>26</v>
      </c>
      <c r="K18" s="14">
        <v>9261386</v>
      </c>
    </row>
    <row r="71" spans="1:2">
      <c r="A71" s="12" t="s">
        <v>25</v>
      </c>
      <c r="B71" t="s">
        <v>29</v>
      </c>
    </row>
    <row r="72" spans="1:2">
      <c r="A72" s="13" t="s">
        <v>16</v>
      </c>
      <c r="B72" s="14">
        <v>7604000</v>
      </c>
    </row>
    <row r="73" spans="1:2">
      <c r="A73" s="13" t="s">
        <v>8</v>
      </c>
      <c r="B73" s="14">
        <v>561676</v>
      </c>
    </row>
    <row r="74" spans="1:2">
      <c r="A74" s="13" t="s">
        <v>20</v>
      </c>
      <c r="B74" s="14">
        <v>858000</v>
      </c>
    </row>
    <row r="75" spans="1:2">
      <c r="A75" s="13" t="s">
        <v>13</v>
      </c>
      <c r="B75" s="14">
        <v>63800</v>
      </c>
    </row>
    <row r="76" spans="1:2">
      <c r="A76" s="13" t="s">
        <v>17</v>
      </c>
      <c r="B76" s="14">
        <v>165000</v>
      </c>
    </row>
    <row r="77" spans="1:2">
      <c r="A77" s="13" t="s">
        <v>22</v>
      </c>
      <c r="B77" s="14">
        <v>8910</v>
      </c>
    </row>
    <row r="78" spans="1:2">
      <c r="A78" s="13" t="s">
        <v>26</v>
      </c>
      <c r="B78" s="14">
        <v>9261386</v>
      </c>
    </row>
    <row r="81" spans="1:2">
      <c r="A81" s="12" t="s">
        <v>25</v>
      </c>
      <c r="B81" t="s">
        <v>30</v>
      </c>
    </row>
    <row r="82" spans="1:2">
      <c r="A82" s="13" t="s">
        <v>16</v>
      </c>
      <c r="B82">
        <v>89</v>
      </c>
    </row>
    <row r="83" spans="1:2">
      <c r="A83" s="13" t="s">
        <v>8</v>
      </c>
      <c r="B83">
        <v>172</v>
      </c>
    </row>
    <row r="84" spans="1:2">
      <c r="A84" s="13" t="s">
        <v>20</v>
      </c>
      <c r="B84">
        <v>26</v>
      </c>
    </row>
    <row r="85" spans="1:2">
      <c r="A85" s="13" t="s">
        <v>13</v>
      </c>
      <c r="B85">
        <v>44</v>
      </c>
    </row>
    <row r="86" spans="1:2">
      <c r="A86" s="13" t="s">
        <v>17</v>
      </c>
      <c r="B86">
        <v>11</v>
      </c>
    </row>
    <row r="87" spans="1:2">
      <c r="A87" s="13" t="s">
        <v>22</v>
      </c>
      <c r="B87">
        <v>9</v>
      </c>
    </row>
    <row r="88" spans="1:2">
      <c r="A88" s="13" t="s">
        <v>26</v>
      </c>
      <c r="B88">
        <v>351</v>
      </c>
    </row>
    <row r="90" spans="1:2">
      <c r="A90" s="12" t="s">
        <v>25</v>
      </c>
      <c r="B90" t="s">
        <v>30</v>
      </c>
    </row>
    <row r="91" spans="1:2">
      <c r="A91" s="13" t="s">
        <v>16</v>
      </c>
      <c r="B91">
        <v>89</v>
      </c>
    </row>
    <row r="92" spans="1:2">
      <c r="A92" s="13" t="s">
        <v>8</v>
      </c>
      <c r="B92">
        <v>172</v>
      </c>
    </row>
    <row r="93" spans="1:2">
      <c r="A93" s="13" t="s">
        <v>20</v>
      </c>
      <c r="B93">
        <v>26</v>
      </c>
    </row>
    <row r="94" spans="1:2">
      <c r="A94" s="13" t="s">
        <v>13</v>
      </c>
      <c r="B94">
        <v>44</v>
      </c>
    </row>
    <row r="95" spans="1:2">
      <c r="A95" s="13" t="s">
        <v>17</v>
      </c>
      <c r="B95">
        <v>11</v>
      </c>
    </row>
    <row r="96" spans="1:2">
      <c r="A96" s="13" t="s">
        <v>22</v>
      </c>
      <c r="B96">
        <v>9</v>
      </c>
    </row>
    <row r="97" spans="1:2">
      <c r="A97" s="13" t="s">
        <v>26</v>
      </c>
      <c r="B97">
        <v>351</v>
      </c>
    </row>
    <row r="99" spans="1:2">
      <c r="A99" t="s">
        <v>29</v>
      </c>
    </row>
    <row r="100" spans="1:2">
      <c r="A100" s="14">
        <v>9261386</v>
      </c>
    </row>
    <row r="103" spans="1:2">
      <c r="A103" s="12" t="s">
        <v>25</v>
      </c>
      <c r="B103" t="s">
        <v>30</v>
      </c>
    </row>
    <row r="104" spans="1:2">
      <c r="A104" s="13" t="s">
        <v>15</v>
      </c>
      <c r="B104">
        <v>61</v>
      </c>
    </row>
    <row r="105" spans="1:2">
      <c r="A105" s="13" t="s">
        <v>10</v>
      </c>
      <c r="B105">
        <v>81</v>
      </c>
    </row>
    <row r="106" spans="1:2">
      <c r="A106" s="13" t="s">
        <v>7</v>
      </c>
      <c r="B106">
        <v>130</v>
      </c>
    </row>
    <row r="107" spans="1:2">
      <c r="A107" s="13" t="s">
        <v>26</v>
      </c>
      <c r="B107">
        <v>272</v>
      </c>
    </row>
    <row r="112" spans="1:2">
      <c r="A112" s="12" t="s">
        <v>25</v>
      </c>
      <c r="B112" t="s">
        <v>30</v>
      </c>
    </row>
    <row r="113" spans="1:2">
      <c r="A113" s="13" t="s">
        <v>19</v>
      </c>
      <c r="B113">
        <v>26</v>
      </c>
    </row>
    <row r="114" spans="1:2">
      <c r="A114" s="13" t="s">
        <v>12</v>
      </c>
      <c r="B114">
        <v>53</v>
      </c>
    </row>
    <row r="115" spans="1:2">
      <c r="A115" s="13" t="s">
        <v>15</v>
      </c>
      <c r="B115">
        <v>61</v>
      </c>
    </row>
    <row r="116" spans="1:2">
      <c r="A116" s="13" t="s">
        <v>26</v>
      </c>
      <c r="B116">
        <v>140</v>
      </c>
    </row>
    <row r="129" spans="1:2">
      <c r="A129" s="12" t="s">
        <v>25</v>
      </c>
      <c r="B129" t="s">
        <v>30</v>
      </c>
    </row>
    <row r="130" spans="1:2">
      <c r="A130" s="13" t="s">
        <v>19</v>
      </c>
      <c r="B130">
        <v>26</v>
      </c>
    </row>
    <row r="131" spans="1:2">
      <c r="A131" s="13" t="s">
        <v>12</v>
      </c>
      <c r="B131">
        <v>53</v>
      </c>
    </row>
    <row r="132" spans="1:2">
      <c r="A132" s="13" t="s">
        <v>10</v>
      </c>
      <c r="B132">
        <v>81</v>
      </c>
    </row>
    <row r="133" spans="1:2">
      <c r="A133" s="13" t="s">
        <v>15</v>
      </c>
      <c r="B133">
        <v>61</v>
      </c>
    </row>
    <row r="134" spans="1:2">
      <c r="A134" s="13" t="s">
        <v>7</v>
      </c>
      <c r="B134">
        <v>130</v>
      </c>
    </row>
    <row r="135" spans="1:2">
      <c r="A135" s="13" t="s">
        <v>26</v>
      </c>
      <c r="B135">
        <v>351</v>
      </c>
    </row>
    <row r="144" spans="1:2">
      <c r="A144" s="12" t="s">
        <v>25</v>
      </c>
      <c r="B144" t="s">
        <v>30</v>
      </c>
    </row>
    <row r="145" spans="1:2">
      <c r="A145" s="13" t="s">
        <v>16</v>
      </c>
      <c r="B145">
        <v>89</v>
      </c>
    </row>
    <row r="146" spans="1:2">
      <c r="A146" s="13" t="s">
        <v>8</v>
      </c>
      <c r="B146">
        <v>172</v>
      </c>
    </row>
    <row r="147" spans="1:2">
      <c r="A147" s="13" t="s">
        <v>13</v>
      </c>
      <c r="B147">
        <v>44</v>
      </c>
    </row>
    <row r="148" spans="1:2">
      <c r="A148" s="13" t="s">
        <v>26</v>
      </c>
      <c r="B148">
        <v>305</v>
      </c>
    </row>
    <row r="151" spans="1:2">
      <c r="A151" s="12" t="s">
        <v>25</v>
      </c>
      <c r="B151" t="s">
        <v>30</v>
      </c>
    </row>
    <row r="152" spans="1:2">
      <c r="A152" s="13" t="s">
        <v>20</v>
      </c>
      <c r="B152">
        <v>26</v>
      </c>
    </row>
    <row r="153" spans="1:2">
      <c r="A153" s="13" t="s">
        <v>17</v>
      </c>
      <c r="B153">
        <v>11</v>
      </c>
    </row>
    <row r="154" spans="1:2">
      <c r="A154" s="13" t="s">
        <v>22</v>
      </c>
      <c r="B154">
        <v>9</v>
      </c>
    </row>
    <row r="155" spans="1:2">
      <c r="A155" s="13" t="s">
        <v>26</v>
      </c>
      <c r="B155">
        <v>46</v>
      </c>
    </row>
    <row r="158" spans="1:2">
      <c r="A158" s="12" t="s">
        <v>25</v>
      </c>
      <c r="B158" t="s">
        <v>30</v>
      </c>
    </row>
    <row r="159" spans="1:2">
      <c r="A159" s="13" t="s">
        <v>16</v>
      </c>
      <c r="B159">
        <v>89</v>
      </c>
    </row>
    <row r="160" spans="1:2">
      <c r="A160" s="13" t="s">
        <v>8</v>
      </c>
      <c r="B160">
        <v>172</v>
      </c>
    </row>
    <row r="161" spans="1:2">
      <c r="A161" s="13" t="s">
        <v>20</v>
      </c>
      <c r="B161">
        <v>26</v>
      </c>
    </row>
    <row r="162" spans="1:2">
      <c r="A162" s="13" t="s">
        <v>13</v>
      </c>
      <c r="B162">
        <v>44</v>
      </c>
    </row>
    <row r="163" spans="1:2">
      <c r="A163" s="13" t="s">
        <v>17</v>
      </c>
      <c r="B163">
        <v>11</v>
      </c>
    </row>
    <row r="164" spans="1:2">
      <c r="A164" s="13" t="s">
        <v>22</v>
      </c>
      <c r="B164">
        <v>9</v>
      </c>
    </row>
    <row r="165" spans="1:2">
      <c r="A165" s="13" t="s">
        <v>26</v>
      </c>
      <c r="B165">
        <v>351</v>
      </c>
    </row>
  </sheetData>
  <pageMargins left="0.7" right="0.7" top="0.75" bottom="0.75" header="0.3" footer="0.3"/>
  <drawing r:id="rId15"/>
  <extLs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CE615-7221-475C-B2CE-F12FCB50BAF6}">
  <dimension ref="A1"/>
  <sheetViews>
    <sheetView tabSelected="1" zoomScale="50" workbookViewId="0">
      <selection activeCell="AE48" sqref="AE48"/>
    </sheetView>
  </sheetViews>
  <sheetFormatPr defaultRowHeight="13.8"/>
  <cols>
    <col min="1" max="1" width="8.8984375" customWidth="1"/>
  </cols>
  <sheetData>
    <row r="1" spans="1:1">
      <c r="A1" s="15" t="s">
        <v>31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AF221-FE71-488F-B3F1-33A788AF24E5}">
  <dimension ref="A1"/>
  <sheetViews>
    <sheetView zoomScale="45" zoomScaleNormal="40" workbookViewId="0">
      <selection activeCell="AA37" sqref="AA37"/>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B7B2-DAE1-453B-8BE1-4E284A27FA2D}">
  <dimension ref="A1"/>
  <sheetViews>
    <sheetView zoomScale="40" workbookViewId="0"/>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2242B-F58D-42B6-A2AC-6C45713F8403}">
  <dimension ref="A1"/>
  <sheetViews>
    <sheetView zoomScale="52" workbookViewId="0">
      <selection activeCell="F48" sqref="F48"/>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MASTERDATA</vt:lpstr>
      <vt:lpstr>PIVOT TABLE</vt:lpstr>
      <vt:lpstr>DASHBOARD</vt:lpstr>
      <vt:lpstr>PRODUCTS</vt:lpstr>
      <vt:lpstr>SALESMANS</vt:lpstr>
      <vt:lpstr>ABOUT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Thota Jagadeesh</dc:creator>
  <cp:lastModifiedBy>Dell</cp:lastModifiedBy>
  <dcterms:created xsi:type="dcterms:W3CDTF">2026-07-09T11:01:35Z</dcterms:created>
  <dcterms:modified xsi:type="dcterms:W3CDTF">2026-07-17T01:07:24Z</dcterms:modified>
</cp:coreProperties>
</file>