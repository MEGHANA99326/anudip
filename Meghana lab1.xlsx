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cfb3f5cb249da354/Documents/"/>
    </mc:Choice>
  </mc:AlternateContent>
  <xr:revisionPtr revIDLastSave="0" documentId="8_{934DAA0C-ED03-4AA0-A929-132F0944B370}" xr6:coauthVersionLast="45" xr6:coauthVersionMax="45" xr10:uidLastSave="{00000000-0000-0000-0000-000000000000}"/>
  <bookViews>
    <workbookView xWindow="-108" yWindow="-108" windowWidth="23256" windowHeight="12456" xr2:uid="{8084427E-4E52-460D-A26E-8E739F5A4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13" i="1"/>
  <c r="I1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<sst xmlns="http://schemas.openxmlformats.org/spreadsheetml/2006/main" count="54" uniqueCount="43">
  <si>
    <t>Emp_ID</t>
  </si>
  <si>
    <t>Employee_Name</t>
  </si>
  <si>
    <t>Department</t>
  </si>
  <si>
    <t>City</t>
  </si>
  <si>
    <t>Join_Date</t>
  </si>
  <si>
    <t>Salary</t>
  </si>
  <si>
    <t>Bonus %</t>
  </si>
  <si>
    <t>E001</t>
  </si>
  <si>
    <t>Ramesh</t>
  </si>
  <si>
    <t>Sales</t>
  </si>
  <si>
    <t>Bangalore</t>
  </si>
  <si>
    <t>E002</t>
  </si>
  <si>
    <t>Suresh</t>
  </si>
  <si>
    <t>Marketing</t>
  </si>
  <si>
    <t>Mysore</t>
  </si>
  <si>
    <t>E003</t>
  </si>
  <si>
    <t>Kavya</t>
  </si>
  <si>
    <t>HR</t>
  </si>
  <si>
    <t>Hyderabad</t>
  </si>
  <si>
    <t>E004</t>
  </si>
  <si>
    <t>Anil</t>
  </si>
  <si>
    <t>IT</t>
  </si>
  <si>
    <t>Chennai</t>
  </si>
  <si>
    <t>E005</t>
  </si>
  <si>
    <t>Deepa</t>
  </si>
  <si>
    <t>Finance</t>
  </si>
  <si>
    <t>E006</t>
  </si>
  <si>
    <t>Harish</t>
  </si>
  <si>
    <t>E007</t>
  </si>
  <si>
    <t>Sneha</t>
  </si>
  <si>
    <t>E008</t>
  </si>
  <si>
    <t>Vinay</t>
  </si>
  <si>
    <t>E009</t>
  </si>
  <si>
    <t>Pooja</t>
  </si>
  <si>
    <t>E010</t>
  </si>
  <si>
    <t>Kiran</t>
  </si>
  <si>
    <t>Bonus Amount</t>
  </si>
  <si>
    <t xml:space="preserve"> Total Salary of each Employee</t>
  </si>
  <si>
    <t>Total sum of salaries</t>
  </si>
  <si>
    <t>Average salary</t>
  </si>
  <si>
    <t>Salary Status</t>
  </si>
  <si>
    <t>Employee Category</t>
  </si>
  <si>
    <t>Salary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</si>
</sst>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8" formatCode="dd\-mm\-yyyy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164" fontId="0" fillId="0" borderId="0" xfId="0" applyNumberFormat="1"/>
    <xf numFmtId="168" fontId="0" fillId="0" borderId="0" xfId="0" applyNumberFormat="1"/>
    <xf numFmtId="0" fontId="1" fillId="2" borderId="1" xfId="0" applyFont="1" applyFill="1" applyBorder="1" applyAlignment="1">
      <alignment horizontal="left"/>
    </xf>
    <xf numFmtId="168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8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10" fontId="2" fillId="2" borderId="1" xfId="0" applyNumberFormat="1" applyFont="1" applyFill="1" applyBorder="1"/>
    <xf numFmtId="0" fontId="0" fillId="0" borderId="1" xfId="0" applyBorder="1"/>
    <xf numFmtId="10" fontId="0" fillId="0" borderId="1" xfId="0" applyNumberFormat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8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6E42-8A82-461D-BA5B-5B4C0FE9A06F}">
  <dimension ref="A1:L13"/>
  <sheetViews>
    <sheetView tabSelected="1" workbookViewId="0">
      <selection activeCell="D14" sqref="D14"/>
    </sheetView>
  </sheetViews>
  <sheetFormatPr defaultRowHeight="13.8"/>
  <cols>
    <col min="1" max="1" width="7.69921875" bestFit="1" customWidth="1"/>
    <col min="2" max="2" width="16" bestFit="1" customWidth="1"/>
    <col min="3" max="3" width="11.19921875" bestFit="1" customWidth="1"/>
    <col min="4" max="4" width="9.69921875" bestFit="1" customWidth="1"/>
    <col min="5" max="5" width="11.59765625" style="3" bestFit="1" customWidth="1"/>
    <col min="6" max="6" width="13" style="2" bestFit="1" customWidth="1"/>
    <col min="7" max="7" width="8.796875" bestFit="1" customWidth="1"/>
    <col min="8" max="8" width="18.5" customWidth="1"/>
    <col min="9" max="9" width="27.796875" customWidth="1"/>
    <col min="10" max="10" width="13.09765625" customWidth="1"/>
    <col min="11" max="11" width="18" customWidth="1"/>
    <col min="12" max="12" width="17.69921875" style="11" customWidth="1"/>
  </cols>
  <sheetData>
    <row r="1" spans="1:12" s="1" customForma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12" t="s">
        <v>36</v>
      </c>
      <c r="I1" s="12" t="s">
        <v>37</v>
      </c>
      <c r="J1" s="13" t="s">
        <v>40</v>
      </c>
      <c r="K1" s="13" t="s">
        <v>41</v>
      </c>
      <c r="L1" s="14" t="s">
        <v>42</v>
      </c>
    </row>
    <row r="2" spans="1:12">
      <c r="A2" s="7" t="s">
        <v>7</v>
      </c>
      <c r="B2" s="7" t="s">
        <v>8</v>
      </c>
      <c r="C2" s="7" t="s">
        <v>9</v>
      </c>
      <c r="D2" s="7" t="s">
        <v>10</v>
      </c>
      <c r="E2" s="8">
        <v>45306</v>
      </c>
      <c r="F2" s="9">
        <v>35000</v>
      </c>
      <c r="G2" s="10">
        <v>0.08</v>
      </c>
      <c r="H2" s="9">
        <f>F2*G2</f>
        <v>2800</v>
      </c>
      <c r="I2" s="9">
        <f>F2+H2</f>
        <v>37800</v>
      </c>
      <c r="J2" s="15" t="str">
        <f>IF(F2&gt;=40000,"High salary","Normal salary")</f>
        <v>Normal salary</v>
      </c>
      <c r="K2" s="15" t="str">
        <f>IF(AND(F2&gt;=42000,G2&gt;=10%),"premium employee","Normal employee")</f>
        <v>Normal employee</v>
      </c>
      <c r="L2" s="16">
        <f>I2/$I$12</f>
        <v>8.609301689974036E-2</v>
      </c>
    </row>
    <row r="3" spans="1:12">
      <c r="A3" s="7" t="s">
        <v>11</v>
      </c>
      <c r="B3" s="7" t="s">
        <v>12</v>
      </c>
      <c r="C3" s="7" t="s">
        <v>13</v>
      </c>
      <c r="D3" s="7" t="s">
        <v>14</v>
      </c>
      <c r="E3" s="8">
        <v>45342</v>
      </c>
      <c r="F3" s="9">
        <v>40000</v>
      </c>
      <c r="G3" s="10">
        <v>0.1</v>
      </c>
      <c r="H3" s="9">
        <f t="shared" ref="H3:H11" si="0">F3*G3</f>
        <v>4000</v>
      </c>
      <c r="I3" s="9">
        <f t="shared" ref="I3:I11" si="1">F3+H3</f>
        <v>44000</v>
      </c>
      <c r="J3" s="15" t="str">
        <f t="shared" ref="J3:J12" si="2">IF(F3&gt;=40000,"High salary","Normal salary")</f>
        <v>High salary</v>
      </c>
      <c r="K3" s="15" t="str">
        <f t="shared" ref="K3:K12" si="3">IF(AND(F3&gt;=42000,G3&gt;=10%),"premium employee","Normal employee")</f>
        <v>Normal employee</v>
      </c>
      <c r="L3" s="16">
        <f t="shared" ref="L3:L12" si="4">I3/$I$12</f>
        <v>0.10021409374572951</v>
      </c>
    </row>
    <row r="4" spans="1:12">
      <c r="A4" s="7" t="s">
        <v>15</v>
      </c>
      <c r="B4" s="7" t="s">
        <v>16</v>
      </c>
      <c r="C4" s="7" t="s">
        <v>17</v>
      </c>
      <c r="D4" s="7" t="s">
        <v>18</v>
      </c>
      <c r="E4" s="8">
        <v>45356</v>
      </c>
      <c r="F4" s="9">
        <v>32000</v>
      </c>
      <c r="G4" s="10">
        <v>0.06</v>
      </c>
      <c r="H4" s="9">
        <f t="shared" si="0"/>
        <v>1920</v>
      </c>
      <c r="I4" s="9">
        <f t="shared" si="1"/>
        <v>33920</v>
      </c>
      <c r="J4" s="15" t="str">
        <f t="shared" si="2"/>
        <v>Normal salary</v>
      </c>
      <c r="K4" s="15" t="str">
        <f t="shared" si="3"/>
        <v>Normal employee</v>
      </c>
      <c r="L4" s="16">
        <f t="shared" si="4"/>
        <v>7.7255955905798757E-2</v>
      </c>
    </row>
    <row r="5" spans="1:12">
      <c r="A5" s="7" t="s">
        <v>19</v>
      </c>
      <c r="B5" s="7" t="s">
        <v>20</v>
      </c>
      <c r="C5" s="7" t="s">
        <v>21</v>
      </c>
      <c r="D5" s="7" t="s">
        <v>22</v>
      </c>
      <c r="E5" s="8">
        <v>45301</v>
      </c>
      <c r="F5" s="9">
        <v>50000</v>
      </c>
      <c r="G5" s="10">
        <v>0.12</v>
      </c>
      <c r="H5" s="9">
        <f t="shared" si="0"/>
        <v>6000</v>
      </c>
      <c r="I5" s="9">
        <f t="shared" si="1"/>
        <v>56000</v>
      </c>
      <c r="J5" s="15" t="str">
        <f t="shared" si="2"/>
        <v>High salary</v>
      </c>
      <c r="K5" s="15" t="str">
        <f t="shared" si="3"/>
        <v>premium employee</v>
      </c>
      <c r="L5" s="16">
        <f t="shared" si="4"/>
        <v>0.12754521022183757</v>
      </c>
    </row>
    <row r="6" spans="1:12">
      <c r="A6" s="7" t="s">
        <v>23</v>
      </c>
      <c r="B6" s="7" t="s">
        <v>24</v>
      </c>
      <c r="C6" s="7" t="s">
        <v>25</v>
      </c>
      <c r="D6" s="7" t="s">
        <v>10</v>
      </c>
      <c r="E6" s="8">
        <v>45407</v>
      </c>
      <c r="F6" s="9">
        <v>45000</v>
      </c>
      <c r="G6" s="10">
        <v>0.09</v>
      </c>
      <c r="H6" s="9">
        <f t="shared" si="0"/>
        <v>4050</v>
      </c>
      <c r="I6" s="9">
        <f t="shared" si="1"/>
        <v>49050</v>
      </c>
      <c r="J6" s="15" t="str">
        <f t="shared" si="2"/>
        <v>High salary</v>
      </c>
      <c r="K6" s="15" t="str">
        <f t="shared" si="3"/>
        <v>Normal employee</v>
      </c>
      <c r="L6" s="16">
        <f t="shared" si="4"/>
        <v>0.11171593859609165</v>
      </c>
    </row>
    <row r="7" spans="1:12">
      <c r="A7" s="7" t="s">
        <v>26</v>
      </c>
      <c r="B7" s="7" t="s">
        <v>27</v>
      </c>
      <c r="C7" s="7" t="s">
        <v>9</v>
      </c>
      <c r="D7" s="7" t="s">
        <v>14</v>
      </c>
      <c r="E7" s="8">
        <v>45430</v>
      </c>
      <c r="F7" s="9">
        <v>30000</v>
      </c>
      <c r="G7" s="10">
        <v>7.0000000000000007E-2</v>
      </c>
      <c r="H7" s="9">
        <f t="shared" si="0"/>
        <v>2100</v>
      </c>
      <c r="I7" s="9">
        <f t="shared" si="1"/>
        <v>32100</v>
      </c>
      <c r="J7" s="15" t="str">
        <f t="shared" si="2"/>
        <v>Normal salary</v>
      </c>
      <c r="K7" s="15" t="str">
        <f t="shared" si="3"/>
        <v>Normal employee</v>
      </c>
      <c r="L7" s="16">
        <f t="shared" si="4"/>
        <v>7.3110736573589033E-2</v>
      </c>
    </row>
    <row r="8" spans="1:12">
      <c r="A8" s="7" t="s">
        <v>28</v>
      </c>
      <c r="B8" s="7" t="s">
        <v>29</v>
      </c>
      <c r="C8" s="7" t="s">
        <v>13</v>
      </c>
      <c r="D8" s="7" t="s">
        <v>18</v>
      </c>
      <c r="E8" s="8">
        <v>45455</v>
      </c>
      <c r="F8" s="9">
        <v>38000</v>
      </c>
      <c r="G8" s="10">
        <v>0.08</v>
      </c>
      <c r="H8" s="9">
        <f t="shared" si="0"/>
        <v>3040</v>
      </c>
      <c r="I8" s="9">
        <f t="shared" si="1"/>
        <v>41040</v>
      </c>
      <c r="J8" s="15" t="str">
        <f t="shared" si="2"/>
        <v>Normal salary</v>
      </c>
      <c r="K8" s="15" t="str">
        <f t="shared" si="3"/>
        <v>Normal employee</v>
      </c>
      <c r="L8" s="16">
        <f t="shared" si="4"/>
        <v>9.3472418348289524E-2</v>
      </c>
    </row>
    <row r="9" spans="1:12">
      <c r="A9" s="7" t="s">
        <v>30</v>
      </c>
      <c r="B9" s="7" t="s">
        <v>31</v>
      </c>
      <c r="C9" s="7" t="s">
        <v>21</v>
      </c>
      <c r="D9" s="7" t="s">
        <v>10</v>
      </c>
      <c r="E9" s="8">
        <v>45495</v>
      </c>
      <c r="F9" s="9">
        <v>55000</v>
      </c>
      <c r="G9" s="10">
        <v>0.15</v>
      </c>
      <c r="H9" s="9">
        <f t="shared" si="0"/>
        <v>8250</v>
      </c>
      <c r="I9" s="9">
        <f t="shared" si="1"/>
        <v>63250</v>
      </c>
      <c r="J9" s="15" t="str">
        <f t="shared" si="2"/>
        <v>High salary</v>
      </c>
      <c r="K9" s="15" t="str">
        <f t="shared" si="3"/>
        <v>premium employee</v>
      </c>
      <c r="L9" s="16">
        <f t="shared" si="4"/>
        <v>0.14405775975948618</v>
      </c>
    </row>
    <row r="10" spans="1:12">
      <c r="A10" s="7" t="s">
        <v>32</v>
      </c>
      <c r="B10" s="7" t="s">
        <v>33</v>
      </c>
      <c r="C10" s="7" t="s">
        <v>17</v>
      </c>
      <c r="D10" s="7" t="s">
        <v>22</v>
      </c>
      <c r="E10" s="8">
        <v>45518</v>
      </c>
      <c r="F10" s="9">
        <v>34000</v>
      </c>
      <c r="G10" s="10">
        <v>0.05</v>
      </c>
      <c r="H10" s="9">
        <f t="shared" si="0"/>
        <v>1700</v>
      </c>
      <c r="I10" s="9">
        <f t="shared" si="1"/>
        <v>35700</v>
      </c>
      <c r="J10" s="15" t="str">
        <f t="shared" si="2"/>
        <v>Normal salary</v>
      </c>
      <c r="K10" s="15" t="str">
        <f t="shared" si="3"/>
        <v>Normal employee</v>
      </c>
      <c r="L10" s="16">
        <f t="shared" si="4"/>
        <v>8.1310071516421445E-2</v>
      </c>
    </row>
    <row r="11" spans="1:12">
      <c r="A11" s="7" t="s">
        <v>34</v>
      </c>
      <c r="B11" s="7" t="s">
        <v>35</v>
      </c>
      <c r="C11" s="7" t="s">
        <v>25</v>
      </c>
      <c r="D11" s="7" t="s">
        <v>14</v>
      </c>
      <c r="E11" s="8">
        <v>45565</v>
      </c>
      <c r="F11" s="9">
        <v>42000</v>
      </c>
      <c r="G11" s="10">
        <v>0.1</v>
      </c>
      <c r="H11" s="9">
        <f t="shared" si="0"/>
        <v>4200</v>
      </c>
      <c r="I11" s="9">
        <f t="shared" si="1"/>
        <v>46200</v>
      </c>
      <c r="J11" s="15" t="str">
        <f t="shared" si="2"/>
        <v>High salary</v>
      </c>
      <c r="K11" s="15" t="str">
        <f t="shared" si="3"/>
        <v>premium employee</v>
      </c>
      <c r="L11" s="16">
        <f t="shared" si="4"/>
        <v>0.10522479843301599</v>
      </c>
    </row>
    <row r="12" spans="1:12">
      <c r="A12" s="7"/>
      <c r="B12" s="7"/>
      <c r="C12" s="7"/>
      <c r="D12" s="7"/>
      <c r="E12" s="8"/>
      <c r="F12" s="9"/>
      <c r="G12" s="7"/>
      <c r="H12" s="17" t="s">
        <v>38</v>
      </c>
      <c r="I12" s="18">
        <f>SUM(I2:I11)</f>
        <v>439060</v>
      </c>
      <c r="J12" s="15"/>
      <c r="K12" s="15"/>
      <c r="L12" s="16"/>
    </row>
    <row r="13" spans="1:12">
      <c r="A13" s="15"/>
      <c r="B13" s="15"/>
      <c r="C13" s="15"/>
      <c r="D13" s="15"/>
      <c r="E13" s="19"/>
      <c r="F13" s="20"/>
      <c r="G13" s="15"/>
      <c r="H13" s="21" t="s">
        <v>39</v>
      </c>
      <c r="I13" s="22">
        <f>AVERAGE(I2:I11)</f>
        <v>43906</v>
      </c>
      <c r="J13" s="15"/>
      <c r="K13" s="15"/>
      <c r="L13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Thota Jagadeesh</dc:creator>
  <cp:lastModifiedBy>Dell</cp:lastModifiedBy>
  <dcterms:created xsi:type="dcterms:W3CDTF">2026-06-19T05:12:29Z</dcterms:created>
  <dcterms:modified xsi:type="dcterms:W3CDTF">2026-06-23T10:03:18Z</dcterms:modified>
</cp:coreProperties>
</file>